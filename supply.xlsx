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xampp\htdocs\Logistic\"/>
    </mc:Choice>
  </mc:AlternateContent>
  <xr:revisionPtr revIDLastSave="0" documentId="13_ncr:1_{323C24A1-71E9-4E80-B3A1-6423AF60D357}" xr6:coauthVersionLast="47" xr6:coauthVersionMax="47" xr10:uidLastSave="{00000000-0000-0000-0000-000000000000}"/>
  <bookViews>
    <workbookView xWindow="3048" yWindow="2256" windowWidth="17280" windowHeight="8880" activeTab="3" xr2:uid="{C8510E56-5FED-3E45-9EF2-1A2938B1900D}"/>
  </bookViews>
  <sheets>
    <sheet name="updateweb (2)" sheetId="14" r:id="rId1"/>
    <sheet name="KPI " sheetId="17" r:id="rId2"/>
    <sheet name="Top 5 " sheetId="18" r:id="rId3"/>
    <sheet name="updateweb" sheetId="1" r:id="rId4"/>
    <sheet name="สถานะการส่ง1" sheetId="16" r:id="rId5"/>
    <sheet name="Map" sheetId="10" r:id="rId6"/>
  </sheets>
  <definedNames>
    <definedName name="ExternalData_1" localSheetId="0" hidden="1">'updateweb (2)'!$A$1:$M$22</definedName>
  </definedNames>
  <calcPr calcId="191029"/>
  <pivotCaches>
    <pivotCache cacheId="99" r:id="rId7"/>
    <pivotCache cacheId="10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6" l="1"/>
  <c r="C8" i="16"/>
  <c r="C7" i="16"/>
  <c r="M18" i="1"/>
  <c r="M19" i="1"/>
  <c r="L18" i="1"/>
  <c r="L19" i="1"/>
  <c r="K18" i="1"/>
  <c r="K3" i="1"/>
  <c r="K4" i="1"/>
  <c r="K5" i="1"/>
  <c r="K6" i="1"/>
  <c r="K7" i="1"/>
  <c r="K8" i="1"/>
  <c r="L8" i="1" s="1"/>
  <c r="M8" i="1" s="1"/>
  <c r="K9" i="1"/>
  <c r="L9" i="1" s="1"/>
  <c r="M9" i="1" s="1"/>
  <c r="K10" i="1"/>
  <c r="K11" i="1"/>
  <c r="K12" i="1"/>
  <c r="K13" i="1"/>
  <c r="K14" i="1"/>
  <c r="K15" i="1"/>
  <c r="K16" i="1"/>
  <c r="L16" i="1" s="1"/>
  <c r="M16" i="1" s="1"/>
  <c r="K17" i="1"/>
  <c r="L17" i="1" s="1"/>
  <c r="M17" i="1" s="1"/>
  <c r="K19" i="1"/>
  <c r="L10" i="1"/>
  <c r="M10" i="1" s="1"/>
  <c r="L12" i="1"/>
  <c r="M12" i="1" s="1"/>
  <c r="G18" i="1"/>
  <c r="G19" i="1"/>
  <c r="L3" i="1"/>
  <c r="M3" i="1" s="1"/>
  <c r="L4" i="1"/>
  <c r="M4" i="1" s="1"/>
  <c r="L5" i="1"/>
  <c r="M5" i="1" s="1"/>
  <c r="L6" i="1"/>
  <c r="M6" i="1" s="1"/>
  <c r="L7" i="1"/>
  <c r="M7" i="1" s="1"/>
  <c r="L11" i="1"/>
  <c r="M11" i="1" s="1"/>
  <c r="L13" i="1"/>
  <c r="M13" i="1" s="1"/>
  <c r="L14" i="1"/>
  <c r="M14" i="1" s="1"/>
  <c r="L15" i="1"/>
  <c r="M15" i="1" s="1"/>
  <c r="K2" i="1"/>
  <c r="G6" i="1"/>
  <c r="L2" i="1"/>
  <c r="G2" i="1"/>
  <c r="G3" i="1"/>
  <c r="G4" i="1"/>
  <c r="G5" i="1"/>
  <c r="G7" i="1"/>
  <c r="G8" i="1"/>
  <c r="G9" i="1"/>
  <c r="G10" i="1"/>
  <c r="G11" i="1"/>
  <c r="G12" i="1"/>
  <c r="G13" i="1"/>
  <c r="G14" i="1"/>
  <c r="G15" i="1"/>
  <c r="G16" i="1"/>
  <c r="G17" i="1"/>
  <c r="F5" i="16" l="1" a="1"/>
  <c r="F5" i="16" s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8D47E-2976-4A93-B1D5-1C1F467AE1B6}" keepAlive="1" name="Query - update" description="Connection to the 'update' query in the workbook." type="5" refreshedVersion="7" background="1" saveData="1">
    <dbPr connection="Provider=Microsoft.Mashup.OleDb.1;Data Source=$Workbook$;Location=update;Extended Properties=&quot;&quot;" command="SELECT * FROM [update]"/>
  </connection>
  <connection id="2" xr16:uid="{A97E703A-C9B2-4C95-BF5C-3A5B16F20013}" keepAlive="1" name="Query - update (2)" description="Connection to the 'update (2)' query in the workbook." type="5" refreshedVersion="7" background="1" saveData="1">
    <dbPr connection="Provider=Microsoft.Mashup.OleDb.1;Data Source=$Workbook$;Location=&quot;update (2)&quot;;Extended Properties=&quot;&quot;" command="SELECT * FROM [update (2)]"/>
  </connection>
  <connection id="3" xr16:uid="{4CFBAC57-6EAB-4787-8775-61AAF1F1AF3F}" keepAlive="1" name="Query - updateweb" description="Connection to the 'updateweb' query in the workbook." type="5" refreshedVersion="7" background="1" saveData="1">
    <dbPr connection="Provider=Microsoft.Mashup.OleDb.1;Data Source=$Workbook$;Location=updateweb;Extended Properties=&quot;&quot;" command="SELECT * FROM [updateweb]"/>
  </connection>
  <connection id="4" xr16:uid="{8373723C-3CF2-424B-9EB9-9273C90A57CB}" keepAlive="1" name="Query - จำลอง" description="Connection to the 'จำลอง' query in the workbook." type="5" refreshedVersion="8" background="1" saveData="1">
    <dbPr connection="Provider=Microsoft.Mashup.OleDb.1;Data Source=$Workbook$;Location=จำลอง;Extended Properties=&quot;&quot;" command="SELECT * FROM [จำลอง]"/>
  </connection>
  <connection id="5" xr16:uid="{428D8F21-F31E-574A-A1CA-D6780696A476}" keepAlive="1" name="Query - จำลอง (2)" description="Connection to the 'จำลอง (2)' query in the workbook." type="5" refreshedVersion="8" background="1" saveData="1">
    <dbPr connection="Provider=Microsoft.Mashup.OleDb.1;Data Source=$Workbook$;Location=&quot;จำลอง (2)&quot;;Extended Properties=&quot;&quot;" command="SELECT * FROM [จำลอง (2)]"/>
  </connection>
  <connection id="6" xr16:uid="{D71B0529-7502-4147-B7A0-0B765281720B}" keepAlive="1" name="Query - จำลอง (3)" description="Connection to the 'จำลอง (3)' query in the workbook." type="5" refreshedVersion="8" background="1" refreshOnLoad="1" saveData="1">
    <dbPr connection="Provider=Microsoft.Mashup.OleDb.1;Data Source=$Workbook$;Location=&quot;จำลอง (3)&quot;;Extended Properties=&quot;&quot;" command="SELECT * FROM [จำลอง (3)]"/>
  </connection>
  <connection id="7" xr16:uid="{AD7B9B90-F5F9-9C4C-BC3E-DE2C914F41B2}" keepAlive="1" name="Query - จำลอง (4)" description="Connection to the 'จำลอง (4)' query in the workbook." type="5" refreshedVersion="8" background="1" saveData="1">
    <dbPr connection="Provider=Microsoft.Mashup.OleDb.1;Data Source=$Workbook$;Location=&quot;จำลอง (4)&quot;;Extended Properties=&quot;&quot;" command="SELECT * FROM [จำลอง (4)]"/>
  </connection>
  <connection id="8" xr16:uid="{8F777C71-CF2B-2C43-9A16-B05BED609F53}" keepAlive="1" name="Query - จำลอง2" description="Connection to the 'จำลอง2' query in the workbook." type="5" refreshedVersion="0" background="1">
    <dbPr connection="Provider=Microsoft.Mashup.OleDb.1;Data Source=$Workbook$;Location=จำลอง2;Extended Properties=&quot;&quot;" command="SELECT * FROM [จำลอง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<sst xmlns="http://schemas.openxmlformats.org/spreadsheetml/2006/main" count="249" uniqueCount="102">
  <si>
    <t> Tracking Number</t>
  </si>
  <si>
    <t>ผู้รับ</t>
  </si>
  <si>
    <t>สถานะปัจจุบัน</t>
  </si>
  <si>
    <t>Latitude</t>
  </si>
  <si>
    <t>Longitude</t>
  </si>
  <si>
    <t>Timestamp </t>
  </si>
  <si>
    <t>ความเร็ว (km/h)</t>
  </si>
  <si>
    <t>ระยะทางเหลือ (km)</t>
  </si>
  <si>
    <t>Lat_ปลายทาง</t>
  </si>
  <si>
    <t>Lon_ปลายทาง</t>
  </si>
  <si>
    <t>ถึงแล้ว</t>
  </si>
  <si>
    <t>กำลังขนส่ง</t>
  </si>
  <si>
    <t>เวลาที่คาดว่าจะถึง</t>
  </si>
  <si>
    <t>ระยะเวลาที่ใช้</t>
  </si>
  <si>
    <t>Map</t>
  </si>
  <si>
    <t>ตาราง Top 5 พัสดุอัปเดตล่าสุด</t>
  </si>
  <si>
    <t>Row Labels</t>
  </si>
  <si>
    <t>Grand Total</t>
  </si>
  <si>
    <t>Timestamp</t>
  </si>
  <si>
    <t>TH9963334018</t>
  </si>
  <si>
    <t>TH2801823908</t>
  </si>
  <si>
    <t>TH6756332150</t>
  </si>
  <si>
    <t>TH9776552803</t>
  </si>
  <si>
    <t>TH8995970241</t>
  </si>
  <si>
    <t>TH4721519026</t>
  </si>
  <si>
    <t>TH3783290795</t>
  </si>
  <si>
    <t>TH1240251661</t>
  </si>
  <si>
    <t>TH8110054933</t>
  </si>
  <si>
    <t>TH7801222128</t>
  </si>
  <si>
    <t>TH8217611860</t>
  </si>
  <si>
    <t>TH9639245200</t>
  </si>
  <si>
    <t>TH5974249674</t>
  </si>
  <si>
    <t>TH7980611182</t>
  </si>
  <si>
    <t>TH9592390865</t>
  </si>
  <si>
    <t>บริษัท สยามโลจิสติกส์ จำกัด</t>
  </si>
  <si>
    <t>หจก. นครใต้ขนส่ง</t>
  </si>
  <si>
    <t>บริษัท บลูโอเชี่ยนเทรดดิ้ง จำกัด</t>
  </si>
  <si>
    <t>บริษัท ไทยกรีนมาร์ท จำกัด</t>
  </si>
  <si>
    <t>ร้านมินิมาร์ทป้าแอ๋ว</t>
  </si>
  <si>
    <t>คุณกิตติพงศ์ พรหมศรี</t>
  </si>
  <si>
    <t>คุณสุพัตรา วัฒนชัย</t>
  </si>
  <si>
    <t>คุณณัฐวุฒิ ชาญกิจ</t>
  </si>
  <si>
    <t>คุณพิมพ์ชนก ศรีสุข</t>
  </si>
  <si>
    <t>คุณอรทัย มณีรัตน์</t>
  </si>
  <si>
    <t>บริษัท โกลเด้นแพ็ค จำกัด</t>
  </si>
  <si>
    <t>บริษัท แฟลชฟอร์เวิร์ด เอ็กซ์เพรส จำกัด</t>
  </si>
  <si>
    <t>ร้านช้อปดีมีของ</t>
  </si>
  <si>
    <t>บริษัท นอร์ทสตาร์ ซัพพลาย จำกัด</t>
  </si>
  <si>
    <t>บริษัท อีโคแพ็ค (ประเทศไทย) จำกัด</t>
  </si>
  <si>
    <t>ร้านบ้านขนมหวาน</t>
  </si>
  <si>
    <t>คุณสิรินดา ชัยมงคล</t>
  </si>
  <si>
    <t>คุณวรินทร ศรีสมบัติ</t>
  </si>
  <si>
    <t>คุณธัญญารัตน์ นิ่มนวล</t>
  </si>
  <si>
    <t>ร้านอิ่มอร่อยเดลิเวอรี่</t>
  </si>
  <si>
    <t>บริษัท พรีเมียมออโต้พาร์ท จำกัด</t>
  </si>
  <si>
    <t>ร้านฟ้าใสคาเฟ่</t>
  </si>
  <si>
    <t>บริษัท บางกอกเทคโซลูชัน จำกัด</t>
  </si>
  <si>
    <t>ร้านสมาร์ทโฮมอิเล็กทรอนิกส์</t>
  </si>
  <si>
    <t>บริษัท สตาร์ชิปปิ้ง เซอร์วิส จำกัด</t>
  </si>
  <si>
    <t>คุณศศิธร แสงทอง</t>
  </si>
  <si>
    <t>คุณธนกฤต สุขใจ</t>
  </si>
  <si>
    <t>คุณณิชารีย์ พงษ์ศรี</t>
  </si>
  <si>
    <t>คุณปริญญา วัฒนะ</t>
  </si>
  <si>
    <t>คุณกานต์พิชชา รัตนกุล</t>
  </si>
  <si>
    <t>คุณภัทรพล อินทร์แก้ว</t>
  </si>
  <si>
    <t>คุณจิราพร สุวรรณศรี</t>
  </si>
  <si>
    <t>ชื่อผู้ส่ง</t>
  </si>
  <si>
    <t>ชื่อผู้รับ</t>
  </si>
  <si>
    <t>ตัวชี้วัด</t>
  </si>
  <si>
    <t>จำนวน</t>
  </si>
  <si>
    <t>ทั้งหมด</t>
  </si>
  <si>
    <t>TH1112223334</t>
  </si>
  <si>
    <t>TH5556667778</t>
  </si>
  <si>
    <t>บริษัท กรีนโลจิสติกส์ จำกัด</t>
  </si>
  <si>
    <t xml:space="preserve">คุณพิมพ์ใจ </t>
  </si>
  <si>
    <t>ร้านกาแฟรักษ์โลก</t>
  </si>
  <si>
    <t>คุณบี</t>
  </si>
  <si>
    <t>25/1/2026 22:27</t>
  </si>
  <si>
    <t>25/1/2026 6:17</t>
  </si>
  <si>
    <t>25/1/2026 10:56</t>
  </si>
  <si>
    <t>25/1/2026 23:56</t>
  </si>
  <si>
    <t>25/1/2026 14:19</t>
  </si>
  <si>
    <t>26/1/2026 12:26</t>
  </si>
  <si>
    <t>26/1/2026 10:08</t>
  </si>
  <si>
    <t>25/1/2026 5:56</t>
  </si>
  <si>
    <t>26/1/2026 8:49</t>
  </si>
  <si>
    <t>25/1/2026 4:13</t>
  </si>
  <si>
    <t>25/1/2026 22:15</t>
  </si>
  <si>
    <t>24/1/2026 17:19</t>
  </si>
  <si>
    <t>25/1/2026 8:25</t>
  </si>
  <si>
    <t>25/1/2026 21:54</t>
  </si>
  <si>
    <t>26/1/2026 5:28</t>
  </si>
  <si>
    <t>25/1/2026 21:33</t>
  </si>
  <si>
    <t>25/1/2026 19:10</t>
  </si>
  <si>
    <t>26/1/2026 15:20</t>
  </si>
  <si>
    <t/>
  </si>
  <si>
    <t xml:space="preserve">ถึงแล้ว </t>
  </si>
  <si>
    <t>KPI สรุปจำนวนพัสดุ</t>
  </si>
  <si>
    <t>Count of สถานะปัจจุบัน</t>
  </si>
  <si>
    <t>25-ม.ค.</t>
  </si>
  <si>
    <t>26-ม.ค.</t>
  </si>
  <si>
    <t>24-ม.ค.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</si>
</sst>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0.0"/>
    <numFmt numFmtId="188" formatCode="[$-1000409]h:mm\ AM/PM;@"/>
    <numFmt numFmtId="189" formatCode="[$-F400]h:mm:ss\ AM/PM"/>
  </numFmts>
  <fonts count="9" x14ac:knownFonts="1">
    <font>
      <sz val="12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20"/>
      <color theme="1"/>
      <name val="TH SarabunPSK"/>
      <family val="2"/>
    </font>
    <font>
      <b/>
      <sz val="22"/>
      <color theme="1"/>
      <name val="TH SarabunPSK"/>
      <family val="2"/>
    </font>
    <font>
      <b/>
      <sz val="20"/>
      <color rgb="FF1D2125"/>
      <name val="TH SarabunPSK"/>
      <family val="2"/>
    </font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8"/>
      <name val="Tahoma"/>
      <family val="2"/>
      <scheme val="minor"/>
    </font>
    <font>
      <b/>
      <sz val="16"/>
      <color rgb="FF1D2125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87" fontId="1" fillId="0" borderId="0" xfId="0" applyNumberFormat="1" applyFont="1" applyAlignment="1">
      <alignment horizontal="left" vertical="center"/>
    </xf>
    <xf numFmtId="22" fontId="1" fillId="0" borderId="0" xfId="0" applyNumberFormat="1" applyFont="1" applyAlignment="1">
      <alignment horizontal="left" vertical="center"/>
    </xf>
    <xf numFmtId="188" fontId="1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3" borderId="7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0" borderId="0" xfId="1" applyFont="1"/>
    <xf numFmtId="0" fontId="1" fillId="0" borderId="0" xfId="0" applyFont="1" applyAlignment="1">
      <alignment horizontal="right" vertical="center"/>
    </xf>
    <xf numFmtId="0" fontId="1" fillId="0" borderId="0" xfId="1" applyFont="1" applyAlignment="1">
      <alignment horizontal="left"/>
    </xf>
    <xf numFmtId="189" fontId="0" fillId="0" borderId="0" xfId="0" applyNumberFormat="1"/>
    <xf numFmtId="0" fontId="1" fillId="0" borderId="0" xfId="1" applyFont="1" applyAlignment="1">
      <alignment horizontal="right"/>
    </xf>
    <xf numFmtId="0" fontId="1" fillId="0" borderId="0" xfId="0" applyFont="1" applyAlignment="1">
      <alignment horizontal="left"/>
    </xf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6" fillId="5" borderId="1" xfId="0" applyFont="1" applyFill="1" applyBorder="1" applyAlignment="1">
      <alignment horizontal="center" vertical="top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6" fillId="6" borderId="8" xfId="0" applyFont="1" applyFill="1" applyBorder="1" applyAlignment="1">
      <alignment horizontal="center" vertical="top"/>
    </xf>
    <xf numFmtId="0" fontId="6" fillId="6" borderId="9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indent="1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7" borderId="1" xfId="0" applyFill="1" applyBorder="1" applyAlignment="1">
      <alignment horizontal="left"/>
    </xf>
    <xf numFmtId="0" fontId="0" fillId="8" borderId="1" xfId="0" applyNumberFormat="1" applyFill="1" applyBorder="1"/>
    <xf numFmtId="0" fontId="0" fillId="7" borderId="0" xfId="0" applyFill="1" applyAlignment="1">
      <alignment horizontal="left" indent="2"/>
    </xf>
    <xf numFmtId="0" fontId="0" fillId="7" borderId="0" xfId="0" applyFill="1" applyAlignment="1">
      <alignment horizontal="left" indent="3"/>
    </xf>
  </cellXfs>
  <cellStyles count="2">
    <cellStyle name="Normal" xfId="0" builtinId="0"/>
    <cellStyle name="Normal 2" xfId="1" xr:uid="{82B07015-84D7-4049-A44E-F562DC0EC14B}"/>
  </cellStyles>
  <dxfs count="50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189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D5354"/>
      <color rgb="FFFC6F6D"/>
      <color rgb="FFF3ED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updateweb (2)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google.com/maps/d/u/0/edit?mid=1O3gyCDKhHIPcR0R3p5PSC-52PGiNzbw&amp;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606135</xdr:colOff>
      <xdr:row>23</xdr:row>
      <xdr:rowOff>69274</xdr:rowOff>
    </xdr:from>
    <xdr:to>
      <xdr:col>12</xdr:col>
      <xdr:colOff>1523999</xdr:colOff>
      <xdr:row>26</xdr:row>
      <xdr:rowOff>89906</xdr:rowOff>
    </xdr:to>
    <xdr:sp macro="[0]!RefreshData" textlink="">
      <xdr:nvSpPr>
        <xdr:cNvPr id="4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EC52B-4782-4F00-93F9-7F17250B37D8}"/>
            </a:ext>
          </a:extLst>
        </xdr:cNvPr>
        <xdr:cNvSpPr/>
      </xdr:nvSpPr>
      <xdr:spPr>
        <a:xfrm>
          <a:off x="18201408" y="7360229"/>
          <a:ext cx="3896591" cy="955813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/>
            <a:t>Refresh Update</a:t>
          </a:r>
          <a:endParaRPr lang="en-US" sz="36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388189</xdr:colOff>
      <xdr:row>5</xdr:row>
      <xdr:rowOff>158151</xdr:rowOff>
    </xdr:from>
    <xdr:to>
      <xdr:col>19</xdr:col>
      <xdr:colOff>5082</xdr:colOff>
      <xdr:row>51</xdr:row>
      <xdr:rowOff>162766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0CA669-57F5-457D-B9CD-36033636B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189" y="1322717"/>
          <a:ext cx="17099761" cy="86022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ระบบคอมพิวเตอร์" refreshedDate="46048.794233449073" createdVersion="7" refreshedVersion="7" minRefreshableVersion="3" recordCount="19" xr:uid="{668270C2-E402-472B-9E13-5790EA1B11DA}">
  <cacheSource type="worksheet">
    <worksheetSource ref="A1:M20" sheet="updateweb"/>
  </cacheSource>
  <cacheFields count="16">
    <cacheField name=" Tracking Number" numFmtId="0">
      <sharedItems count="17">
        <s v="TH9963334018"/>
        <s v="TH2801823908"/>
        <s v="TH6756332150"/>
        <s v="TH9776552803"/>
        <s v="TH8995970241"/>
        <s v="TH4721519026"/>
        <s v="TH3783290795"/>
        <s v="TH1240251661"/>
        <s v="TH8110054933"/>
        <s v="TH7801222128"/>
        <s v="TH8217611860"/>
        <s v="TH9639245200"/>
        <s v="TH5974249674"/>
        <s v="TH7980611182"/>
        <s v="TH9592390865"/>
        <s v="TH1112223334"/>
        <s v="TH5556667778"/>
      </sharedItems>
    </cacheField>
    <cacheField name="ชื่อผู้ส่ง" numFmtId="0">
      <sharedItems count="18">
        <s v="บริษัท สยามโลจิสติกส์ จำกัด"/>
        <s v="หจก. นครใต้ขนส่ง"/>
        <s v="บริษัท บลูโอเชี่ยนเทรดดิ้ง จำกัด"/>
        <s v="บริษัท ไทยกรีนมาร์ท จำกัด"/>
        <s v="ร้านมินิมาร์ทป้าแอ๋ว"/>
        <s v="คุณกิตติพงศ์ พรหมศรี"/>
        <s v="คุณสุพัตรา วัฒนชัย"/>
        <s v="คุณณัฐวุฒิ ชาญกิจ"/>
        <s v="คุณพิมพ์ชนก ศรีสุข"/>
        <s v="คุณอรทัย มณีรัตน์"/>
        <s v="บริษัท โกลเด้นแพ็ค จำกัด"/>
        <s v="บริษัท แฟลชฟอร์เวิร์ด เอ็กซ์เพรส จำกัด"/>
        <s v="ร้านช้อปดีมีของ"/>
        <s v="บริษัท นอร์ทสตาร์ ซัพพลาย จำกัด"/>
        <s v="บริษัท อีโคแพ็ค (ประเทศไทย) จำกัด"/>
        <s v="ร้านบ้านขนมหวาน"/>
        <s v="บริษัท กรีนโลจิสติกส์ จำกัด"/>
        <s v="ร้านกาแฟรักษ์โลก"/>
      </sharedItems>
    </cacheField>
    <cacheField name="ชื่อผู้รับ" numFmtId="0">
      <sharedItems count="18">
        <s v="คุณศศิธร แสงทอง"/>
        <s v="คุณธนกฤต สุขใจ"/>
        <s v="คุณณิชารีย์ พงษ์ศรี"/>
        <s v="คุณปริญญา วัฒนะ"/>
        <s v="คุณกานต์พิชชา รัตนกุล"/>
        <s v="คุณภัทรพล อินทร์แก้ว"/>
        <s v="คุณจิราพร สุวรรณศรี"/>
        <s v="คุณสิรินดา ชัยมงคล"/>
        <s v="คุณวรินทร ศรีสมบัติ"/>
        <s v="คุณธัญญารัตน์ นิ่มนวล"/>
        <s v="ร้านอิ่มอร่อยเดลิเวอรี่"/>
        <s v="บริษัท พรีเมียมออโต้พาร์ท จำกัด"/>
        <s v="ร้านฟ้าใสคาเฟ่"/>
        <s v="บริษัท บางกอกเทคโซลูชัน จำกัด"/>
        <s v="ร้านสมาร์ทโฮมอิเล็กทรอนิกส์"/>
        <s v="บริษัท สตาร์ชิปปิ้ง เซอร์วิส จำกัด"/>
        <s v="คุณพิมพ์ใจ "/>
        <s v="คุณบี"/>
      </sharedItems>
    </cacheField>
    <cacheField name="สถานะปัจจุบัน" numFmtId="0">
      <sharedItems count="3">
        <s v="ถึงแล้ว"/>
        <s v="กำลังขนส่ง"/>
        <s v="ถึงแล้ว "/>
      </sharedItems>
    </cacheField>
    <cacheField name="Latitude" numFmtId="0">
      <sharedItems containsSemiMixedTypes="0" containsString="0" containsNumber="1" minValue="7.1371820000000001" maxValue="18.867871999999998"/>
    </cacheField>
    <cacheField name="Longitude" numFmtId="0">
      <sharedItems containsSemiMixedTypes="0" containsString="0" containsNumber="1" minValue="98.927432999999994" maxValue="102.92841162284722"/>
    </cacheField>
    <cacheField name="Timestamp " numFmtId="22">
      <sharedItems containsSemiMixedTypes="0" containsNonDate="0" containsDate="1" containsString="0" minDate="2026-01-24T21:57:23" maxDate="2026-01-26T18:01:43" count="19">
        <d v="2026-01-25T00:35:19"/>
        <d v="2026-01-25T10:30:53"/>
        <d v="2026-01-25T11:20:10"/>
        <d v="2026-01-26T05:49:01"/>
        <d v="2026-01-26T11:47:18"/>
        <d v="2026-01-26T03:11:36"/>
        <d v="2026-01-26T01:10:28"/>
        <d v="2026-01-26T09:21:41"/>
        <d v="2026-01-26T03:12:51"/>
        <d v="2026-01-25T22:17:39"/>
        <d v="2026-01-25T09:47:59"/>
        <d v="2026-01-24T21:57:23"/>
        <d v="2026-01-25T21:25:54"/>
        <d v="2026-01-26T18:01:43"/>
        <d v="2026-01-25T18:06:40"/>
        <d v="2026-01-26T15:56:40"/>
        <d v="2026-01-25T16:27:37"/>
        <d v="2026-01-26T01:57:26"/>
        <d v="2026-01-26T10:08:00"/>
      </sharedItems>
      <fieldGroup par="15" base="6">
        <rangePr groupBy="seconds" startDate="2026-01-24T21:57:23" endDate="2026-01-26T18:01:43"/>
        <groupItems count="62">
          <s v="&lt;24/1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6/1/2026"/>
        </groupItems>
      </fieldGroup>
    </cacheField>
    <cacheField name="ความเร็ว (km/h)" numFmtId="0">
      <sharedItems containsSemiMixedTypes="0" containsString="0" containsNumber="1" minValue="7" maxValue="76"/>
    </cacheField>
    <cacheField name="Lat_ปลายทาง" numFmtId="0">
      <sharedItems containsSemiMixedTypes="0" containsString="0" containsNumber="1" minValue="7.1898" maxValue="18.787199999999999"/>
    </cacheField>
    <cacheField name="Lon_ปลายทาง" numFmtId="0">
      <sharedItems containsSemiMixedTypes="0" containsString="0" containsNumber="1" minValue="98.392300000000006" maxValue="101.54"/>
    </cacheField>
    <cacheField name="ระยะทางเหลือ (km)" numFmtId="0">
      <sharedItems containsSemiMixedTypes="0" containsString="0" containsNumber="1" minValue="75.410446823673666" maxValue="1043.2512426530677"/>
    </cacheField>
    <cacheField name="ระยะเวลาที่ใช้" numFmtId="0">
      <sharedItems containsSemiMixedTypes="0" containsString="0" containsNumber="1" minValue="1.0190600922118063" maxValue="125.56075823841688"/>
    </cacheField>
    <cacheField name="เวลาที่คาดว่าจะถึง" numFmtId="0">
      <sharedItems containsSemiMixedTypes="0" containsDate="1" containsString="0" containsMixedTypes="1" minDate="2026-01-26T19:48:25" maxDate="1899-12-31T03:43:03" count="19">
        <d v="2026-01-27T06:11:28"/>
        <d v="2026-01-27T02:57:57"/>
        <d v="2026-02-01T00:20:55"/>
        <d v="2026-01-26T21:41:55"/>
        <d v="2026-01-27T08:37:24"/>
        <d v="2026-01-27T04:02:14"/>
        <d v="2026-01-27T13:55:30"/>
        <d v="2026-01-27T00:39:47"/>
        <d v="2026-01-27T01:55:43"/>
        <d v="2026-01-27T02:43:14"/>
        <d v="2026-01-27T04:38:40"/>
        <d v="2026-01-27T04:57:59"/>
        <d v="2026-01-27T11:32:31"/>
        <d v="2026-01-27T07:13:36"/>
        <d v="2026-01-27T17:55:12"/>
        <d v="2026-01-26T21:12:58"/>
        <d v="2026-01-27T07:18:22"/>
        <d v="2026-01-26T19:48:25"/>
        <n v="0.46875"/>
      </sharedItems>
    </cacheField>
    <cacheField name="Minutes" numFmtId="0" databaseField="0">
      <fieldGroup base="6">
        <rangePr groupBy="minutes" startDate="2026-01-24T21:57:23" endDate="2026-01-26T18:01:43"/>
        <groupItems count="62">
          <s v="&lt;24/1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6/1/2026"/>
        </groupItems>
      </fieldGroup>
    </cacheField>
    <cacheField name="Hours" numFmtId="0" databaseField="0">
      <fieldGroup base="6">
        <rangePr groupBy="hours" startDate="2026-01-24T21:57:23" endDate="2026-01-26T18:01:43"/>
        <groupItems count="26">
          <s v="&lt;24/1/2026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6/1/2026"/>
        </groupItems>
      </fieldGroup>
    </cacheField>
    <cacheField name="Days" numFmtId="0" databaseField="0">
      <fieldGroup base="6">
        <rangePr groupBy="days" startDate="2026-01-24T21:57:23" endDate="2026-01-26T18:01:43"/>
        <groupItems count="368">
          <s v="&lt;24/1/2026"/>
          <s v="1-ม.ค."/>
          <s v="2-ม.ค."/>
          <s v="3-ม.ค."/>
          <s v="4-ม.ค."/>
          <s v="5-ม.ค."/>
          <s v="6-ม.ค."/>
          <s v="7-ม.ค."/>
          <s v="8-ม.ค."/>
          <s v="9-ม.ค."/>
          <s v="10-ม.ค."/>
          <s v="11-ม.ค."/>
          <s v="12-ม.ค."/>
          <s v="13-ม.ค."/>
          <s v="14-ม.ค."/>
          <s v="15-ม.ค."/>
          <s v="16-ม.ค."/>
          <s v="17-ม.ค."/>
          <s v="18-ม.ค."/>
          <s v="19-ม.ค."/>
          <s v="20-ม.ค."/>
          <s v="21-ม.ค."/>
          <s v="22-ม.ค."/>
          <s v="23-ม.ค."/>
          <s v="24-ม.ค."/>
          <s v="25-ม.ค."/>
          <s v="26-ม.ค."/>
          <s v="27-ม.ค."/>
          <s v="28-ม.ค."/>
          <s v="29-ม.ค."/>
          <s v="30-ม.ค."/>
          <s v="31-ม.ค."/>
          <s v="1-ก.พ."/>
          <s v="2-ก.พ."/>
          <s v="3-ก.พ."/>
          <s v="4-ก.พ."/>
          <s v="5-ก.พ."/>
          <s v="6-ก.พ."/>
          <s v="7-ก.พ."/>
          <s v="8-ก.พ."/>
          <s v="9-ก.พ."/>
          <s v="10-ก.พ."/>
          <s v="11-ก.พ."/>
          <s v="12-ก.พ."/>
          <s v="13-ก.พ."/>
          <s v="14-ก.พ."/>
          <s v="15-ก.พ."/>
          <s v="16-ก.พ."/>
          <s v="17-ก.พ."/>
          <s v="18-ก.พ."/>
          <s v="19-ก.พ."/>
          <s v="20-ก.พ."/>
          <s v="21-ก.พ."/>
          <s v="22-ก.พ."/>
          <s v="23-ก.พ."/>
          <s v="24-ก.พ."/>
          <s v="25-ก.พ."/>
          <s v="26-ก.พ."/>
          <s v="27-ก.พ."/>
          <s v="28-ก.พ."/>
          <s v="29-ก.พ."/>
          <s v="1-มี.ค."/>
          <s v="2-มี.ค."/>
          <s v="3-มี.ค."/>
          <s v="4-มี.ค."/>
          <s v="5-มี.ค."/>
          <s v="6-มี.ค."/>
          <s v="7-มี.ค."/>
          <s v="8-มี.ค."/>
          <s v="9-มี.ค."/>
          <s v="10-มี.ค."/>
          <s v="11-มี.ค."/>
          <s v="12-มี.ค."/>
          <s v="13-มี.ค."/>
          <s v="14-มี.ค."/>
          <s v="15-มี.ค."/>
          <s v="16-มี.ค."/>
          <s v="17-มี.ค."/>
          <s v="18-มี.ค."/>
          <s v="19-มี.ค."/>
          <s v="20-มี.ค."/>
          <s v="21-มี.ค."/>
          <s v="22-มี.ค."/>
          <s v="23-มี.ค."/>
          <s v="24-มี.ค."/>
          <s v="25-มี.ค."/>
          <s v="26-มี.ค."/>
          <s v="27-มี.ค."/>
          <s v="28-มี.ค."/>
          <s v="29-มี.ค."/>
          <s v="30-มี.ค."/>
          <s v="31-มี.ค."/>
          <s v="1-เม.ย."/>
          <s v="2-เม.ย."/>
          <s v="3-เม.ย."/>
          <s v="4-เม.ย."/>
          <s v="5-เม.ย."/>
          <s v="6-เม.ย."/>
          <s v="7-เม.ย."/>
          <s v="8-เม.ย."/>
          <s v="9-เม.ย."/>
          <s v="10-เม.ย."/>
          <s v="11-เม.ย."/>
          <s v="12-เม.ย."/>
          <s v="13-เม.ย."/>
          <s v="14-เม.ย."/>
          <s v="15-เม.ย."/>
          <s v="16-เม.ย."/>
          <s v="17-เม.ย."/>
          <s v="18-เม.ย."/>
          <s v="19-เม.ย."/>
          <s v="20-เม.ย."/>
          <s v="21-เม.ย."/>
          <s v="22-เม.ย."/>
          <s v="23-เม.ย."/>
          <s v="24-เม.ย."/>
          <s v="25-เม.ย."/>
          <s v="26-เม.ย."/>
          <s v="27-เม.ย."/>
          <s v="28-เม.ย."/>
          <s v="29-เม.ย."/>
          <s v="30-เม.ย."/>
          <s v="1-พ.ค."/>
          <s v="2-พ.ค."/>
          <s v="3-พ.ค."/>
          <s v="4-พ.ค."/>
          <s v="5-พ.ค."/>
          <s v="6-พ.ค."/>
          <s v="7-พ.ค."/>
          <s v="8-พ.ค."/>
          <s v="9-พ.ค."/>
          <s v="10-พ.ค."/>
          <s v="11-พ.ค."/>
          <s v="12-พ.ค."/>
          <s v="13-พ.ค."/>
          <s v="14-พ.ค."/>
          <s v="15-พ.ค."/>
          <s v="16-พ.ค."/>
          <s v="17-พ.ค."/>
          <s v="18-พ.ค."/>
          <s v="19-พ.ค."/>
          <s v="20-พ.ค."/>
          <s v="21-พ.ค."/>
          <s v="22-พ.ค."/>
          <s v="23-พ.ค."/>
          <s v="24-พ.ค."/>
          <s v="25-พ.ค."/>
          <s v="26-พ.ค."/>
          <s v="27-พ.ค."/>
          <s v="28-พ.ค."/>
          <s v="29-พ.ค."/>
          <s v="30-พ.ค."/>
          <s v="31-พ.ค."/>
          <s v="1-มิ.ย."/>
          <s v="2-มิ.ย."/>
          <s v="3-มิ.ย."/>
          <s v="4-มิ.ย."/>
          <s v="5-มิ.ย."/>
          <s v="6-มิ.ย."/>
          <s v="7-มิ.ย."/>
          <s v="8-มิ.ย."/>
          <s v="9-มิ.ย."/>
          <s v="10-มิ.ย."/>
          <s v="11-มิ.ย."/>
          <s v="12-มิ.ย."/>
          <s v="13-มิ.ย."/>
          <s v="14-มิ.ย."/>
          <s v="15-มิ.ย."/>
          <s v="16-มิ.ย."/>
          <s v="17-มิ.ย."/>
          <s v="18-มิ.ย."/>
          <s v="19-มิ.ย."/>
          <s v="20-มิ.ย."/>
          <s v="21-มิ.ย."/>
          <s v="22-มิ.ย."/>
          <s v="23-มิ.ย."/>
          <s v="24-มิ.ย."/>
          <s v="25-มิ.ย."/>
          <s v="26-มิ.ย."/>
          <s v="27-มิ.ย."/>
          <s v="28-มิ.ย."/>
          <s v="29-มิ.ย."/>
          <s v="30-มิ.ย."/>
          <s v="1-ก.ค."/>
          <s v="2-ก.ค."/>
          <s v="3-ก.ค."/>
          <s v="4-ก.ค."/>
          <s v="5-ก.ค."/>
          <s v="6-ก.ค."/>
          <s v="7-ก.ค."/>
          <s v="8-ก.ค."/>
          <s v="9-ก.ค."/>
          <s v="10-ก.ค."/>
          <s v="11-ก.ค."/>
          <s v="12-ก.ค."/>
          <s v="13-ก.ค."/>
          <s v="14-ก.ค."/>
          <s v="15-ก.ค."/>
          <s v="16-ก.ค."/>
          <s v="17-ก.ค."/>
          <s v="18-ก.ค."/>
          <s v="19-ก.ค."/>
          <s v="20-ก.ค."/>
          <s v="21-ก.ค."/>
          <s v="22-ก.ค."/>
          <s v="23-ก.ค."/>
          <s v="24-ก.ค."/>
          <s v="25-ก.ค."/>
          <s v="26-ก.ค."/>
          <s v="27-ก.ค."/>
          <s v="28-ก.ค."/>
          <s v="29-ก.ค."/>
          <s v="30-ก.ค."/>
          <s v="31-ก.ค."/>
          <s v="1-ส.ค."/>
          <s v="2-ส.ค."/>
          <s v="3-ส.ค."/>
          <s v="4-ส.ค."/>
          <s v="5-ส.ค."/>
          <s v="6-ส.ค."/>
          <s v="7-ส.ค."/>
          <s v="8-ส.ค."/>
          <s v="9-ส.ค."/>
          <s v="10-ส.ค."/>
          <s v="11-ส.ค."/>
          <s v="12-ส.ค."/>
          <s v="13-ส.ค."/>
          <s v="14-ส.ค."/>
          <s v="15-ส.ค."/>
          <s v="16-ส.ค."/>
          <s v="17-ส.ค."/>
          <s v="18-ส.ค."/>
          <s v="19-ส.ค."/>
          <s v="20-ส.ค."/>
          <s v="21-ส.ค."/>
          <s v="22-ส.ค."/>
          <s v="23-ส.ค."/>
          <s v="24-ส.ค."/>
          <s v="25-ส.ค."/>
          <s v="26-ส.ค."/>
          <s v="27-ส.ค."/>
          <s v="28-ส.ค."/>
          <s v="29-ส.ค."/>
          <s v="30-ส.ค."/>
          <s v="31-ส.ค."/>
          <s v="1-ก.ย."/>
          <s v="2-ก.ย."/>
          <s v="3-ก.ย."/>
          <s v="4-ก.ย."/>
          <s v="5-ก.ย."/>
          <s v="6-ก.ย."/>
          <s v="7-ก.ย."/>
          <s v="8-ก.ย."/>
          <s v="9-ก.ย."/>
          <s v="10-ก.ย."/>
          <s v="11-ก.ย."/>
          <s v="12-ก.ย."/>
          <s v="13-ก.ย."/>
          <s v="14-ก.ย."/>
          <s v="15-ก.ย."/>
          <s v="16-ก.ย."/>
          <s v="17-ก.ย."/>
          <s v="18-ก.ย."/>
          <s v="19-ก.ย."/>
          <s v="20-ก.ย."/>
          <s v="21-ก.ย."/>
          <s v="22-ก.ย."/>
          <s v="23-ก.ย."/>
          <s v="24-ก.ย."/>
          <s v="25-ก.ย."/>
          <s v="26-ก.ย."/>
          <s v="27-ก.ย."/>
          <s v="28-ก.ย."/>
          <s v="29-ก.ย."/>
          <s v="30-ก.ย."/>
          <s v="1-ต.ค."/>
          <s v="2-ต.ค."/>
          <s v="3-ต.ค."/>
          <s v="4-ต.ค."/>
          <s v="5-ต.ค."/>
          <s v="6-ต.ค."/>
          <s v="7-ต.ค."/>
          <s v="8-ต.ค."/>
          <s v="9-ต.ค."/>
          <s v="10-ต.ค."/>
          <s v="11-ต.ค."/>
          <s v="12-ต.ค."/>
          <s v="13-ต.ค."/>
          <s v="14-ต.ค."/>
          <s v="15-ต.ค."/>
          <s v="16-ต.ค."/>
          <s v="17-ต.ค."/>
          <s v="18-ต.ค."/>
          <s v="19-ต.ค."/>
          <s v="20-ต.ค."/>
          <s v="21-ต.ค."/>
          <s v="22-ต.ค."/>
          <s v="23-ต.ค."/>
          <s v="24-ต.ค."/>
          <s v="25-ต.ค."/>
          <s v="26-ต.ค."/>
          <s v="27-ต.ค."/>
          <s v="28-ต.ค."/>
          <s v="29-ต.ค."/>
          <s v="30-ต.ค."/>
          <s v="31-ต.ค."/>
          <s v="1-พ.ย."/>
          <s v="2-พ.ย."/>
          <s v="3-พ.ย."/>
          <s v="4-พ.ย."/>
          <s v="5-พ.ย."/>
          <s v="6-พ.ย."/>
          <s v="7-พ.ย."/>
          <s v="8-พ.ย."/>
          <s v="9-พ.ย."/>
          <s v="10-พ.ย."/>
          <s v="11-พ.ย."/>
          <s v="12-พ.ย."/>
          <s v="13-พ.ย."/>
          <s v="14-พ.ย."/>
          <s v="15-พ.ย."/>
          <s v="16-พ.ย."/>
          <s v="17-พ.ย."/>
          <s v="18-พ.ย."/>
          <s v="19-พ.ย."/>
          <s v="20-พ.ย."/>
          <s v="21-พ.ย."/>
          <s v="22-พ.ย."/>
          <s v="23-พ.ย."/>
          <s v="24-พ.ย."/>
          <s v="25-พ.ย."/>
          <s v="26-พ.ย."/>
          <s v="27-พ.ย."/>
          <s v="28-พ.ย."/>
          <s v="29-พ.ย."/>
          <s v="30-พ.ย."/>
          <s v="1-ธ.ค."/>
          <s v="2-ธ.ค."/>
          <s v="3-ธ.ค."/>
          <s v="4-ธ.ค."/>
          <s v="5-ธ.ค."/>
          <s v="6-ธ.ค."/>
          <s v="7-ธ.ค."/>
          <s v="8-ธ.ค."/>
          <s v="9-ธ.ค."/>
          <s v="10-ธ.ค."/>
          <s v="11-ธ.ค."/>
          <s v="12-ธ.ค."/>
          <s v="13-ธ.ค."/>
          <s v="14-ธ.ค."/>
          <s v="15-ธ.ค."/>
          <s v="16-ธ.ค."/>
          <s v="17-ธ.ค."/>
          <s v="18-ธ.ค."/>
          <s v="19-ธ.ค."/>
          <s v="20-ธ.ค."/>
          <s v="21-ธ.ค."/>
          <s v="22-ธ.ค."/>
          <s v="23-ธ.ค."/>
          <s v="24-ธ.ค."/>
          <s v="25-ธ.ค."/>
          <s v="26-ธ.ค."/>
          <s v="27-ธ.ค."/>
          <s v="28-ธ.ค."/>
          <s v="29-ธ.ค."/>
          <s v="30-ธ.ค."/>
          <s v="31-ธ.ค."/>
          <s v="&gt;26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ระบบคอมพิวเตอร์" refreshedDate="46048.800903703705" createdVersion="7" refreshedVersion="7" minRefreshableVersion="3" recordCount="40" xr:uid="{5B0DE2BC-8AA6-4C06-BB0A-89358CC61D3F}">
  <cacheSource type="worksheet">
    <worksheetSource ref="A1:M1048576" sheet="updateweb"/>
  </cacheSource>
  <cacheFields count="16">
    <cacheField name=" Tracking Number" numFmtId="0">
      <sharedItems containsBlank="1" count="18">
        <s v="TH9963334018"/>
        <s v="TH2801823908"/>
        <s v="TH6756332150"/>
        <s v="TH9776552803"/>
        <s v="TH8995970241"/>
        <s v="TH4721519026"/>
        <s v="TH3783290795"/>
        <s v="TH1240251661"/>
        <s v="TH8110054933"/>
        <s v="TH7801222128"/>
        <s v="TH8217611860"/>
        <s v="TH9639245200"/>
        <s v="TH5974249674"/>
        <s v="TH7980611182"/>
        <s v="TH9592390865"/>
        <s v="TH1112223334"/>
        <s v="TH5556667778"/>
        <m/>
      </sharedItems>
    </cacheField>
    <cacheField name="ชื่อผู้ส่ง" numFmtId="0">
      <sharedItems containsBlank="1" count="19">
        <s v="บริษัท สยามโลจิสติกส์ จำกัด"/>
        <s v="หจก. นครใต้ขนส่ง"/>
        <s v="บริษัท บลูโอเชี่ยนเทรดดิ้ง จำกัด"/>
        <s v="บริษัท ไทยกรีนมาร์ท จำกัด"/>
        <s v="ร้านมินิมาร์ทป้าแอ๋ว"/>
        <s v="คุณกิตติพงศ์ พรหมศรี"/>
        <s v="คุณสุพัตรา วัฒนชัย"/>
        <s v="คุณณัฐวุฒิ ชาญกิจ"/>
        <s v="คุณพิมพ์ชนก ศรีสุข"/>
        <s v="คุณอรทัย มณีรัตน์"/>
        <s v="บริษัท โกลเด้นแพ็ค จำกัด"/>
        <s v="บริษัท แฟลชฟอร์เวิร์ด เอ็กซ์เพรส จำกัด"/>
        <s v="ร้านช้อปดีมีของ"/>
        <s v="บริษัท นอร์ทสตาร์ ซัพพลาย จำกัด"/>
        <s v="บริษัท อีโคแพ็ค (ประเทศไทย) จำกัด"/>
        <s v="ร้านบ้านขนมหวาน"/>
        <s v="บริษัท กรีนโลจิสติกส์ จำกัด"/>
        <s v="ร้านกาแฟรักษ์โลก"/>
        <m/>
      </sharedItems>
    </cacheField>
    <cacheField name="ชื่อผู้รับ" numFmtId="0">
      <sharedItems containsBlank="1" count="19">
        <s v="คุณศศิธร แสงทอง"/>
        <s v="คุณธนกฤต สุขใจ"/>
        <s v="คุณณิชารีย์ พงษ์ศรี"/>
        <s v="คุณปริญญา วัฒนะ"/>
        <s v="คุณกานต์พิชชา รัตนกุล"/>
        <s v="คุณภัทรพล อินทร์แก้ว"/>
        <s v="คุณจิราพร สุวรรณศรี"/>
        <s v="คุณสิรินดา ชัยมงคล"/>
        <s v="คุณวรินทร ศรีสมบัติ"/>
        <s v="คุณธัญญารัตน์ นิ่มนวล"/>
        <s v="ร้านอิ่มอร่อยเดลิเวอรี่"/>
        <s v="บริษัท พรีเมียมออโต้พาร์ท จำกัด"/>
        <s v="ร้านฟ้าใสคาเฟ่"/>
        <s v="บริษัท บางกอกเทคโซลูชัน จำกัด"/>
        <s v="ร้านสมาร์ทโฮมอิเล็กทรอนิกส์"/>
        <s v="บริษัท สตาร์ชิปปิ้ง เซอร์วิส จำกัด"/>
        <s v="คุณพิมพ์ใจ "/>
        <s v="คุณบี"/>
        <m/>
      </sharedItems>
    </cacheField>
    <cacheField name="สถานะปัจจุบัน" numFmtId="0">
      <sharedItems containsBlank="1" count="3">
        <s v="ถึงแล้ว "/>
        <s v="กำลังขนส่ง"/>
        <m/>
      </sharedItems>
    </cacheField>
    <cacheField name="Latitude" numFmtId="0">
      <sharedItems containsString="0" containsBlank="1" containsNumber="1" minValue="7.1371820000000001" maxValue="18.867871999999998"/>
    </cacheField>
    <cacheField name="Longitude" numFmtId="0">
      <sharedItems containsString="0" containsBlank="1" containsNumber="1" minValue="98.927432999999994" maxValue="102.92841162284722"/>
    </cacheField>
    <cacheField name="Timestamp " numFmtId="0">
      <sharedItems containsNonDate="0" containsDate="1" containsString="0" containsBlank="1" minDate="2026-01-24T20:29:58" maxDate="2026-01-26T18:24:17" count="20">
        <d v="2026-01-26T09:03:26"/>
        <d v="2026-01-25T02:33:49"/>
        <d v="2026-01-26T10:32:24"/>
        <d v="2026-01-24T21:54:37"/>
        <d v="2026-01-26T18:24:17"/>
        <d v="2026-01-24T20:29:58"/>
        <d v="2026-01-26T08:51:51"/>
        <d v="2026-01-26T06:29:52"/>
        <d v="2026-01-24T21:23:40"/>
        <d v="2026-01-26T00:16:46"/>
        <d v="2026-01-25T09:28:52"/>
        <d v="2026-01-25T10:32:58"/>
        <d v="2026-01-26T16:17:15"/>
        <d v="2026-01-25T09:37:09"/>
        <d v="2026-01-25T18:33:49"/>
        <d v="2026-01-25T23:12:31"/>
        <d v="2026-01-24T22:20:19"/>
        <d v="2026-01-26T13:40:48"/>
        <d v="2026-01-26T10:08:00"/>
        <m/>
      </sharedItems>
      <fieldGroup par="15" base="6">
        <rangePr groupBy="seconds" startDate="2026-01-24T20:29:58" endDate="2026-01-26T18:24:17"/>
        <groupItems count="62">
          <s v="(blank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6/1/2026"/>
        </groupItems>
      </fieldGroup>
    </cacheField>
    <cacheField name="ความเร็ว (km/h)" numFmtId="0">
      <sharedItems containsString="0" containsBlank="1" containsNumber="1" minValue="7" maxValue="76"/>
    </cacheField>
    <cacheField name="Lat_ปลายทาง" numFmtId="0">
      <sharedItems containsString="0" containsBlank="1" containsNumber="1" minValue="7.1898" maxValue="18.787199999999999"/>
    </cacheField>
    <cacheField name="Lon_ปลายทาง" numFmtId="0">
      <sharedItems containsString="0" containsBlank="1" containsNumber="1" minValue="98.392300000000006" maxValue="101.54"/>
    </cacheField>
    <cacheField name="ระยะทางเหลือ (km)" numFmtId="0">
      <sharedItems containsString="0" containsBlank="1" containsNumber="1" minValue="75.410446823673666" maxValue="1043.2512426530677"/>
    </cacheField>
    <cacheField name="ระยะเวลาที่ใช้" numFmtId="0">
      <sharedItems containsString="0" containsBlank="1" containsNumber="1" minValue="1.0190600922118063" maxValue="125.56075823841688"/>
    </cacheField>
    <cacheField name="เวลาที่คาดว่าจะถึง" numFmtId="0">
      <sharedItems containsDate="1" containsString="0" containsBlank="1" containsMixedTypes="1" minDate="2026-01-26T20:13:31" maxDate="1899-12-31T03:43:03"/>
    </cacheField>
    <cacheField name="Minutes" numFmtId="0" databaseField="0">
      <fieldGroup base="6">
        <rangePr groupBy="minutes" startDate="2026-01-24T20:29:58" endDate="2026-01-26T18:24:17"/>
        <groupItems count="62">
          <s v="&lt;24/1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6/1/2026"/>
        </groupItems>
      </fieldGroup>
    </cacheField>
    <cacheField name="Hours" numFmtId="0" databaseField="0">
      <fieldGroup base="6">
        <rangePr groupBy="hours" startDate="2026-01-24T20:29:58" endDate="2026-01-26T18:24:17"/>
        <groupItems count="26">
          <s v="&lt;24/1/2026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6/1/2026"/>
        </groupItems>
      </fieldGroup>
    </cacheField>
    <cacheField name="Days" numFmtId="0" databaseField="0">
      <fieldGroup base="6">
        <rangePr groupBy="days" startDate="2026-01-24T20:29:58" endDate="2026-01-26T18:24:17"/>
        <groupItems count="368">
          <s v="&lt;24/1/2026"/>
          <s v="1-ม.ค."/>
          <s v="2-ม.ค."/>
          <s v="3-ม.ค."/>
          <s v="4-ม.ค."/>
          <s v="5-ม.ค."/>
          <s v="6-ม.ค."/>
          <s v="7-ม.ค."/>
          <s v="8-ม.ค."/>
          <s v="9-ม.ค."/>
          <s v="10-ม.ค."/>
          <s v="11-ม.ค."/>
          <s v="12-ม.ค."/>
          <s v="13-ม.ค."/>
          <s v="14-ม.ค."/>
          <s v="15-ม.ค."/>
          <s v="16-ม.ค."/>
          <s v="17-ม.ค."/>
          <s v="18-ม.ค."/>
          <s v="19-ม.ค."/>
          <s v="20-ม.ค."/>
          <s v="21-ม.ค."/>
          <s v="22-ม.ค."/>
          <s v="23-ม.ค."/>
          <s v="24-ม.ค."/>
          <s v="25-ม.ค."/>
          <s v="26-ม.ค."/>
          <s v="27-ม.ค."/>
          <s v="28-ม.ค."/>
          <s v="29-ม.ค."/>
          <s v="30-ม.ค."/>
          <s v="31-ม.ค."/>
          <s v="1-ก.พ."/>
          <s v="2-ก.พ."/>
          <s v="3-ก.พ."/>
          <s v="4-ก.พ."/>
          <s v="5-ก.พ."/>
          <s v="6-ก.พ."/>
          <s v="7-ก.พ."/>
          <s v="8-ก.พ."/>
          <s v="9-ก.พ."/>
          <s v="10-ก.พ."/>
          <s v="11-ก.พ."/>
          <s v="12-ก.พ."/>
          <s v="13-ก.พ."/>
          <s v="14-ก.พ."/>
          <s v="15-ก.พ."/>
          <s v="16-ก.พ."/>
          <s v="17-ก.พ."/>
          <s v="18-ก.พ."/>
          <s v="19-ก.พ."/>
          <s v="20-ก.พ."/>
          <s v="21-ก.พ."/>
          <s v="22-ก.พ."/>
          <s v="23-ก.พ."/>
          <s v="24-ก.พ."/>
          <s v="25-ก.พ."/>
          <s v="26-ก.พ."/>
          <s v="27-ก.พ."/>
          <s v="28-ก.พ."/>
          <s v="29-ก.พ."/>
          <s v="1-มี.ค."/>
          <s v="2-มี.ค."/>
          <s v="3-มี.ค."/>
          <s v="4-มี.ค."/>
          <s v="5-มี.ค."/>
          <s v="6-มี.ค."/>
          <s v="7-มี.ค."/>
          <s v="8-มี.ค."/>
          <s v="9-มี.ค."/>
          <s v="10-มี.ค."/>
          <s v="11-มี.ค."/>
          <s v="12-มี.ค."/>
          <s v="13-มี.ค."/>
          <s v="14-มี.ค."/>
          <s v="15-มี.ค."/>
          <s v="16-มี.ค."/>
          <s v="17-มี.ค."/>
          <s v="18-มี.ค."/>
          <s v="19-มี.ค."/>
          <s v="20-มี.ค."/>
          <s v="21-มี.ค."/>
          <s v="22-มี.ค."/>
          <s v="23-มี.ค."/>
          <s v="24-มี.ค."/>
          <s v="25-มี.ค."/>
          <s v="26-มี.ค."/>
          <s v="27-มี.ค."/>
          <s v="28-มี.ค."/>
          <s v="29-มี.ค."/>
          <s v="30-มี.ค."/>
          <s v="31-มี.ค."/>
          <s v="1-เม.ย."/>
          <s v="2-เม.ย."/>
          <s v="3-เม.ย."/>
          <s v="4-เม.ย."/>
          <s v="5-เม.ย."/>
          <s v="6-เม.ย."/>
          <s v="7-เม.ย."/>
          <s v="8-เม.ย."/>
          <s v="9-เม.ย."/>
          <s v="10-เม.ย."/>
          <s v="11-เม.ย."/>
          <s v="12-เม.ย."/>
          <s v="13-เม.ย."/>
          <s v="14-เม.ย."/>
          <s v="15-เม.ย."/>
          <s v="16-เม.ย."/>
          <s v="17-เม.ย."/>
          <s v="18-เม.ย."/>
          <s v="19-เม.ย."/>
          <s v="20-เม.ย."/>
          <s v="21-เม.ย."/>
          <s v="22-เม.ย."/>
          <s v="23-เม.ย."/>
          <s v="24-เม.ย."/>
          <s v="25-เม.ย."/>
          <s v="26-เม.ย."/>
          <s v="27-เม.ย."/>
          <s v="28-เม.ย."/>
          <s v="29-เม.ย."/>
          <s v="30-เม.ย."/>
          <s v="1-พ.ค."/>
          <s v="2-พ.ค."/>
          <s v="3-พ.ค."/>
          <s v="4-พ.ค."/>
          <s v="5-พ.ค."/>
          <s v="6-พ.ค."/>
          <s v="7-พ.ค."/>
          <s v="8-พ.ค."/>
          <s v="9-พ.ค."/>
          <s v="10-พ.ค."/>
          <s v="11-พ.ค."/>
          <s v="12-พ.ค."/>
          <s v="13-พ.ค."/>
          <s v="14-พ.ค."/>
          <s v="15-พ.ค."/>
          <s v="16-พ.ค."/>
          <s v="17-พ.ค."/>
          <s v="18-พ.ค."/>
          <s v="19-พ.ค."/>
          <s v="20-พ.ค."/>
          <s v="21-พ.ค."/>
          <s v="22-พ.ค."/>
          <s v="23-พ.ค."/>
          <s v="24-พ.ค."/>
          <s v="25-พ.ค."/>
          <s v="26-พ.ค."/>
          <s v="27-พ.ค."/>
          <s v="28-พ.ค."/>
          <s v="29-พ.ค."/>
          <s v="30-พ.ค."/>
          <s v="31-พ.ค."/>
          <s v="1-มิ.ย."/>
          <s v="2-มิ.ย."/>
          <s v="3-มิ.ย."/>
          <s v="4-มิ.ย."/>
          <s v="5-มิ.ย."/>
          <s v="6-มิ.ย."/>
          <s v="7-มิ.ย."/>
          <s v="8-มิ.ย."/>
          <s v="9-มิ.ย."/>
          <s v="10-มิ.ย."/>
          <s v="11-มิ.ย."/>
          <s v="12-มิ.ย."/>
          <s v="13-มิ.ย."/>
          <s v="14-มิ.ย."/>
          <s v="15-มิ.ย."/>
          <s v="16-มิ.ย."/>
          <s v="17-มิ.ย."/>
          <s v="18-มิ.ย."/>
          <s v="19-มิ.ย."/>
          <s v="20-มิ.ย."/>
          <s v="21-มิ.ย."/>
          <s v="22-มิ.ย."/>
          <s v="23-มิ.ย."/>
          <s v="24-มิ.ย."/>
          <s v="25-มิ.ย."/>
          <s v="26-มิ.ย."/>
          <s v="27-มิ.ย."/>
          <s v="28-มิ.ย."/>
          <s v="29-มิ.ย."/>
          <s v="30-มิ.ย."/>
          <s v="1-ก.ค."/>
          <s v="2-ก.ค."/>
          <s v="3-ก.ค."/>
          <s v="4-ก.ค."/>
          <s v="5-ก.ค."/>
          <s v="6-ก.ค."/>
          <s v="7-ก.ค."/>
          <s v="8-ก.ค."/>
          <s v="9-ก.ค."/>
          <s v="10-ก.ค."/>
          <s v="11-ก.ค."/>
          <s v="12-ก.ค."/>
          <s v="13-ก.ค."/>
          <s v="14-ก.ค."/>
          <s v="15-ก.ค."/>
          <s v="16-ก.ค."/>
          <s v="17-ก.ค."/>
          <s v="18-ก.ค."/>
          <s v="19-ก.ค."/>
          <s v="20-ก.ค."/>
          <s v="21-ก.ค."/>
          <s v="22-ก.ค."/>
          <s v="23-ก.ค."/>
          <s v="24-ก.ค."/>
          <s v="25-ก.ค."/>
          <s v="26-ก.ค."/>
          <s v="27-ก.ค."/>
          <s v="28-ก.ค."/>
          <s v="29-ก.ค."/>
          <s v="30-ก.ค."/>
          <s v="31-ก.ค."/>
          <s v="1-ส.ค."/>
          <s v="2-ส.ค."/>
          <s v="3-ส.ค."/>
          <s v="4-ส.ค."/>
          <s v="5-ส.ค."/>
          <s v="6-ส.ค."/>
          <s v="7-ส.ค."/>
          <s v="8-ส.ค."/>
          <s v="9-ส.ค."/>
          <s v="10-ส.ค."/>
          <s v="11-ส.ค."/>
          <s v="12-ส.ค."/>
          <s v="13-ส.ค."/>
          <s v="14-ส.ค."/>
          <s v="15-ส.ค."/>
          <s v="16-ส.ค."/>
          <s v="17-ส.ค."/>
          <s v="18-ส.ค."/>
          <s v="19-ส.ค."/>
          <s v="20-ส.ค."/>
          <s v="21-ส.ค."/>
          <s v="22-ส.ค."/>
          <s v="23-ส.ค."/>
          <s v="24-ส.ค."/>
          <s v="25-ส.ค."/>
          <s v="26-ส.ค."/>
          <s v="27-ส.ค."/>
          <s v="28-ส.ค."/>
          <s v="29-ส.ค."/>
          <s v="30-ส.ค."/>
          <s v="31-ส.ค."/>
          <s v="1-ก.ย."/>
          <s v="2-ก.ย."/>
          <s v="3-ก.ย."/>
          <s v="4-ก.ย."/>
          <s v="5-ก.ย."/>
          <s v="6-ก.ย."/>
          <s v="7-ก.ย."/>
          <s v="8-ก.ย."/>
          <s v="9-ก.ย."/>
          <s v="10-ก.ย."/>
          <s v="11-ก.ย."/>
          <s v="12-ก.ย."/>
          <s v="13-ก.ย."/>
          <s v="14-ก.ย."/>
          <s v="15-ก.ย."/>
          <s v="16-ก.ย."/>
          <s v="17-ก.ย."/>
          <s v="18-ก.ย."/>
          <s v="19-ก.ย."/>
          <s v="20-ก.ย."/>
          <s v="21-ก.ย."/>
          <s v="22-ก.ย."/>
          <s v="23-ก.ย."/>
          <s v="24-ก.ย."/>
          <s v="25-ก.ย."/>
          <s v="26-ก.ย."/>
          <s v="27-ก.ย."/>
          <s v="28-ก.ย."/>
          <s v="29-ก.ย."/>
          <s v="30-ก.ย."/>
          <s v="1-ต.ค."/>
          <s v="2-ต.ค."/>
          <s v="3-ต.ค."/>
          <s v="4-ต.ค."/>
          <s v="5-ต.ค."/>
          <s v="6-ต.ค."/>
          <s v="7-ต.ค."/>
          <s v="8-ต.ค."/>
          <s v="9-ต.ค."/>
          <s v="10-ต.ค."/>
          <s v="11-ต.ค."/>
          <s v="12-ต.ค."/>
          <s v="13-ต.ค."/>
          <s v="14-ต.ค."/>
          <s v="15-ต.ค."/>
          <s v="16-ต.ค."/>
          <s v="17-ต.ค."/>
          <s v="18-ต.ค."/>
          <s v="19-ต.ค."/>
          <s v="20-ต.ค."/>
          <s v="21-ต.ค."/>
          <s v="22-ต.ค."/>
          <s v="23-ต.ค."/>
          <s v="24-ต.ค."/>
          <s v="25-ต.ค."/>
          <s v="26-ต.ค."/>
          <s v="27-ต.ค."/>
          <s v="28-ต.ค."/>
          <s v="29-ต.ค."/>
          <s v="30-ต.ค."/>
          <s v="31-ต.ค."/>
          <s v="1-พ.ย."/>
          <s v="2-พ.ย."/>
          <s v="3-พ.ย."/>
          <s v="4-พ.ย."/>
          <s v="5-พ.ย."/>
          <s v="6-พ.ย."/>
          <s v="7-พ.ย."/>
          <s v="8-พ.ย."/>
          <s v="9-พ.ย."/>
          <s v="10-พ.ย."/>
          <s v="11-พ.ย."/>
          <s v="12-พ.ย."/>
          <s v="13-พ.ย."/>
          <s v="14-พ.ย."/>
          <s v="15-พ.ย."/>
          <s v="16-พ.ย."/>
          <s v="17-พ.ย."/>
          <s v="18-พ.ย."/>
          <s v="19-พ.ย."/>
          <s v="20-พ.ย."/>
          <s v="21-พ.ย."/>
          <s v="22-พ.ย."/>
          <s v="23-พ.ย."/>
          <s v="24-พ.ย."/>
          <s v="25-พ.ย."/>
          <s v="26-พ.ย."/>
          <s v="27-พ.ย."/>
          <s v="28-พ.ย."/>
          <s v="29-พ.ย."/>
          <s v="30-พ.ย."/>
          <s v="1-ธ.ค."/>
          <s v="2-ธ.ค."/>
          <s v="3-ธ.ค."/>
          <s v="4-ธ.ค."/>
          <s v="5-ธ.ค."/>
          <s v="6-ธ.ค."/>
          <s v="7-ธ.ค."/>
          <s v="8-ธ.ค."/>
          <s v="9-ธ.ค."/>
          <s v="10-ธ.ค."/>
          <s v="11-ธ.ค."/>
          <s v="12-ธ.ค."/>
          <s v="13-ธ.ค."/>
          <s v="14-ธ.ค."/>
          <s v="15-ธ.ค."/>
          <s v="16-ธ.ค."/>
          <s v="17-ธ.ค."/>
          <s v="18-ธ.ค."/>
          <s v="19-ธ.ค."/>
          <s v="20-ธ.ค."/>
          <s v="21-ธ.ค."/>
          <s v="22-ธ.ค."/>
          <s v="23-ธ.ค."/>
          <s v="24-ธ.ค."/>
          <s v="25-ธ.ค."/>
          <s v="26-ธ.ค."/>
          <s v="27-ธ.ค."/>
          <s v="28-ธ.ค."/>
          <s v="29-ธ.ค."/>
          <s v="30-ธ.ค."/>
          <s v="31-ธ.ค."/>
          <s v="&gt;26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  <x v="0"/>
    <n v="8.3544020000000003"/>
    <n v="99.927104999999997"/>
    <x v="0"/>
    <n v="54"/>
    <n v="13.8621"/>
    <n v="100.51439999999999"/>
    <n v="615.76859225551163"/>
    <n v="11.403122078805771"/>
    <x v="0"/>
  </r>
  <r>
    <x v="1"/>
    <x v="1"/>
    <x v="1"/>
    <x v="1"/>
    <n v="16.366668000000001"/>
    <n v="102.78998199999999"/>
    <x v="1"/>
    <n v="46.5"/>
    <n v="13.7563"/>
    <n v="100.5018"/>
    <n v="380.26683304868993"/>
    <n v="8.1777813558858057"/>
    <x v="1"/>
  </r>
  <r>
    <x v="2"/>
    <x v="2"/>
    <x v="2"/>
    <x v="0"/>
    <n v="14.944411000000001"/>
    <n v="102.15678800000001"/>
    <x v="2"/>
    <n v="7"/>
    <n v="7.1898"/>
    <n v="100.5951"/>
    <n v="878.92530766891821"/>
    <n v="125.56075823841688"/>
    <x v="2"/>
  </r>
  <r>
    <x v="3"/>
    <x v="3"/>
    <x v="3"/>
    <x v="1"/>
    <n v="14.093954"/>
    <n v="100.49885500000001"/>
    <x v="3"/>
    <n v="33.299999999999997"/>
    <n v="13.3611"/>
    <n v="100.9847"/>
    <n v="96.926272776925643"/>
    <n v="2.9106988821899593"/>
    <x v="3"/>
  </r>
  <r>
    <x v="4"/>
    <x v="4"/>
    <x v="4"/>
    <x v="1"/>
    <n v="14.919872"/>
    <n v="102.165267"/>
    <x v="4"/>
    <n v="63.9"/>
    <n v="7.8803999999999998"/>
    <n v="98.392300000000006"/>
    <n v="884.07851417367442"/>
    <n v="13.835344509760164"/>
    <x v="4"/>
  </r>
  <r>
    <x v="5"/>
    <x v="5"/>
    <x v="5"/>
    <x v="1"/>
    <n v="7.222531"/>
    <n v="100.52243199999999"/>
    <x v="5"/>
    <n v="74"/>
    <n v="13.3611"/>
    <n v="100.9847"/>
    <n v="684.44684277544741"/>
    <n v="9.2492816591276679"/>
    <x v="5"/>
  </r>
  <r>
    <x v="6"/>
    <x v="6"/>
    <x v="6"/>
    <x v="0"/>
    <n v="16.434446000000001"/>
    <n v="102.888458"/>
    <x v="6"/>
    <n v="23.6"/>
    <n v="12.683299999999999"/>
    <n v="101.27889999999999"/>
    <n v="451.63510835064039"/>
    <n v="19.137080862315269"/>
    <x v="6"/>
  </r>
  <r>
    <x v="7"/>
    <x v="7"/>
    <x v="7"/>
    <x v="1"/>
    <n v="7.1371820000000001"/>
    <n v="100.63176"/>
    <x v="7"/>
    <n v="27.5"/>
    <n v="8.4304000000000006"/>
    <n v="99.963099999999997"/>
    <n v="161.56963691803955"/>
    <n v="5.8752595242923471"/>
    <x v="7"/>
  </r>
  <r>
    <x v="8"/>
    <x v="8"/>
    <x v="8"/>
    <x v="1"/>
    <n v="17.462606999999998"/>
    <n v="102.771186"/>
    <x v="8"/>
    <n v="67"/>
    <n v="13.7563"/>
    <n v="100.5018"/>
    <n v="478.42045149914907"/>
    <n v="7.1406037537186426"/>
    <x v="8"/>
  </r>
  <r>
    <x v="9"/>
    <x v="9"/>
    <x v="9"/>
    <x v="0"/>
    <n v="16.508227999999999"/>
    <n v="102.828416"/>
    <x v="9"/>
    <n v="58.4"/>
    <n v="13.5283"/>
    <n v="99.813400000000001"/>
    <n v="463.26334837098977"/>
    <n v="7.9325915816950303"/>
    <x v="9"/>
  </r>
  <r>
    <x v="10"/>
    <x v="10"/>
    <x v="10"/>
    <x v="1"/>
    <n v="18.867871999999998"/>
    <n v="98.927432999999994"/>
    <x v="10"/>
    <n v="66"/>
    <n v="13.3611"/>
    <n v="100.9847"/>
    <n v="650.53346214414421"/>
    <n v="9.8565676082446085"/>
    <x v="10"/>
  </r>
  <r>
    <x v="11"/>
    <x v="11"/>
    <x v="11"/>
    <x v="0"/>
    <n v="7.1713630000000004"/>
    <n v="100.61044200000001"/>
    <x v="11"/>
    <n v="73.099999999999994"/>
    <n v="13.8621"/>
    <n v="100.51439999999999"/>
    <n v="744.05000824787851"/>
    <n v="10.178522684649501"/>
    <x v="11"/>
  </r>
  <r>
    <x v="12"/>
    <x v="12"/>
    <x v="12"/>
    <x v="1"/>
    <n v="9.1672740000000008"/>
    <n v="99.327614999999994"/>
    <x v="12"/>
    <n v="32.1"/>
    <n v="13.8621"/>
    <n v="100.51439999999999"/>
    <n v="537.80737486900853"/>
    <n v="16.754123827694968"/>
    <x v="12"/>
  </r>
  <r>
    <x v="13"/>
    <x v="13"/>
    <x v="13"/>
    <x v="1"/>
    <n v="13.816435999999999"/>
    <n v="100.463942"/>
    <x v="13"/>
    <n v="43"/>
    <n v="9.1381999999999994"/>
    <n v="99.321700000000007"/>
    <n v="534.87148996101837"/>
    <n v="12.438871859558567"/>
    <x v="13"/>
  </r>
  <r>
    <x v="14"/>
    <x v="14"/>
    <x v="14"/>
    <x v="0"/>
    <n v="17.415026000000001"/>
    <n v="102.738826"/>
    <x v="14"/>
    <n v="45.1"/>
    <n v="8.4304000000000006"/>
    <n v="99.963099999999997"/>
    <n v="1043.2512426530677"/>
    <n v="23.131956599846291"/>
    <x v="14"/>
  </r>
  <r>
    <x v="14"/>
    <x v="15"/>
    <x v="15"/>
    <x v="0"/>
    <n v="14.155319823774294"/>
    <n v="102.92841162284722"/>
    <x v="15"/>
    <n v="76"/>
    <n v="15.13"/>
    <n v="101.54"/>
    <n v="184.5449187113351"/>
    <n v="2.4282226146228303"/>
    <x v="15"/>
  </r>
  <r>
    <x v="15"/>
    <x v="16"/>
    <x v="16"/>
    <x v="1"/>
    <n v="13.7563"/>
    <n v="100.5018"/>
    <x v="16"/>
    <n v="46.5"/>
    <n v="18.787199999999999"/>
    <n v="98.993600000000001"/>
    <n v="582.09605051920028"/>
    <n v="12.518194634821512"/>
    <x v="16"/>
  </r>
  <r>
    <x v="16"/>
    <x v="17"/>
    <x v="17"/>
    <x v="1"/>
    <n v="13.3611"/>
    <n v="100.9847"/>
    <x v="17"/>
    <n v="74"/>
    <n v="13.8621"/>
    <n v="100.51439999999999"/>
    <n v="75.410446823673666"/>
    <n v="1.0190600922118063"/>
    <x v="17"/>
  </r>
  <r>
    <x v="6"/>
    <x v="6"/>
    <x v="6"/>
    <x v="2"/>
    <n v="16.434446000000001"/>
    <n v="102.888458"/>
    <x v="18"/>
    <n v="23.6"/>
    <n v="12.683299999999999"/>
    <n v="101.27889999999999"/>
    <n v="451.63510839999998"/>
    <n v="19.100000000000001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n v="8.3544020000000003"/>
    <n v="99.927104999999997"/>
    <x v="0"/>
    <n v="54"/>
    <n v="13.8621"/>
    <n v="100.51439999999999"/>
    <n v="615.76859225551163"/>
    <n v="11.403122078805771"/>
    <d v="2026-01-27T06:36:34"/>
  </r>
  <r>
    <x v="1"/>
    <x v="1"/>
    <x v="1"/>
    <x v="1"/>
    <n v="16.366668000000001"/>
    <n v="102.78998199999999"/>
    <x v="1"/>
    <n v="46.5"/>
    <n v="13.7563"/>
    <n v="100.5018"/>
    <n v="380.26683304868993"/>
    <n v="8.1777813558858057"/>
    <d v="2026-01-27T03:23:03"/>
  </r>
  <r>
    <x v="2"/>
    <x v="2"/>
    <x v="2"/>
    <x v="0"/>
    <n v="14.944411000000001"/>
    <n v="102.15678800000001"/>
    <x v="2"/>
    <n v="7"/>
    <n v="7.1898"/>
    <n v="100.5951"/>
    <n v="878.92530766891821"/>
    <n v="125.56075823841688"/>
    <d v="2026-02-01T00:46:02"/>
  </r>
  <r>
    <x v="3"/>
    <x v="3"/>
    <x v="3"/>
    <x v="1"/>
    <n v="14.093954"/>
    <n v="100.49885500000001"/>
    <x v="3"/>
    <n v="33.299999999999997"/>
    <n v="13.3611"/>
    <n v="100.9847"/>
    <n v="96.926272776925643"/>
    <n v="2.9106988821899593"/>
    <d v="2026-01-26T22:07:01"/>
  </r>
  <r>
    <x v="4"/>
    <x v="4"/>
    <x v="4"/>
    <x v="1"/>
    <n v="14.919872"/>
    <n v="102.165267"/>
    <x v="4"/>
    <n v="63.9"/>
    <n v="7.8803999999999998"/>
    <n v="98.392300000000006"/>
    <n v="884.07851417367442"/>
    <n v="13.835344509760164"/>
    <d v="2026-01-27T09:02:30"/>
  </r>
  <r>
    <x v="5"/>
    <x v="5"/>
    <x v="5"/>
    <x v="1"/>
    <n v="7.222531"/>
    <n v="100.52243199999999"/>
    <x v="5"/>
    <n v="74"/>
    <n v="13.3611"/>
    <n v="100.9847"/>
    <n v="684.44684277544741"/>
    <n v="9.2492816591276679"/>
    <d v="2026-01-27T04:27:20"/>
  </r>
  <r>
    <x v="6"/>
    <x v="6"/>
    <x v="6"/>
    <x v="0"/>
    <n v="16.434446000000001"/>
    <n v="102.888458"/>
    <x v="6"/>
    <n v="23.6"/>
    <n v="12.683299999999999"/>
    <n v="101.27889999999999"/>
    <n v="451.63510835064039"/>
    <n v="19.137080862315269"/>
    <d v="2026-01-27T14:20:36"/>
  </r>
  <r>
    <x v="7"/>
    <x v="7"/>
    <x v="7"/>
    <x v="1"/>
    <n v="7.1371820000000001"/>
    <n v="100.63176"/>
    <x v="7"/>
    <n v="27.5"/>
    <n v="8.4304000000000006"/>
    <n v="99.963099999999997"/>
    <n v="161.56963691803955"/>
    <n v="5.8752595242923471"/>
    <d v="2026-01-27T01:04:54"/>
  </r>
  <r>
    <x v="8"/>
    <x v="8"/>
    <x v="8"/>
    <x v="1"/>
    <n v="17.462606999999998"/>
    <n v="102.771186"/>
    <x v="8"/>
    <n v="67"/>
    <n v="13.7563"/>
    <n v="100.5018"/>
    <n v="478.42045149914907"/>
    <n v="7.1406037537186426"/>
    <d v="2026-01-27T02:20:49"/>
  </r>
  <r>
    <x v="9"/>
    <x v="9"/>
    <x v="9"/>
    <x v="0"/>
    <n v="16.508227999999999"/>
    <n v="102.828416"/>
    <x v="9"/>
    <n v="58.4"/>
    <n v="13.5283"/>
    <n v="99.813400000000001"/>
    <n v="463.26334837098977"/>
    <n v="7.9325915816950303"/>
    <d v="2026-01-27T03:08:20"/>
  </r>
  <r>
    <x v="10"/>
    <x v="10"/>
    <x v="10"/>
    <x v="1"/>
    <n v="18.867871999999998"/>
    <n v="98.927432999999994"/>
    <x v="10"/>
    <n v="66"/>
    <n v="13.3611"/>
    <n v="100.9847"/>
    <n v="650.53346214414421"/>
    <n v="9.8565676082446085"/>
    <d v="2026-01-27T05:03:46"/>
  </r>
  <r>
    <x v="11"/>
    <x v="11"/>
    <x v="11"/>
    <x v="0"/>
    <n v="7.1713630000000004"/>
    <n v="100.61044200000001"/>
    <x v="11"/>
    <n v="73.099999999999994"/>
    <n v="13.8621"/>
    <n v="100.51439999999999"/>
    <n v="744.05000824787851"/>
    <n v="10.178522684649501"/>
    <d v="2026-01-27T05:23:06"/>
  </r>
  <r>
    <x v="12"/>
    <x v="12"/>
    <x v="12"/>
    <x v="1"/>
    <n v="9.1672740000000008"/>
    <n v="99.327614999999994"/>
    <x v="12"/>
    <n v="32.1"/>
    <n v="13.8621"/>
    <n v="100.51439999999999"/>
    <n v="537.80737486900853"/>
    <n v="16.754123827694968"/>
    <d v="2026-01-27T11:57:38"/>
  </r>
  <r>
    <x v="13"/>
    <x v="13"/>
    <x v="13"/>
    <x v="1"/>
    <n v="13.816435999999999"/>
    <n v="100.463942"/>
    <x v="13"/>
    <n v="43"/>
    <n v="9.1381999999999994"/>
    <n v="99.321700000000007"/>
    <n v="534.87148996101837"/>
    <n v="12.438871859558567"/>
    <d v="2026-01-27T07:38:43"/>
  </r>
  <r>
    <x v="14"/>
    <x v="14"/>
    <x v="14"/>
    <x v="0"/>
    <n v="17.415026000000001"/>
    <n v="102.738826"/>
    <x v="14"/>
    <n v="45.1"/>
    <n v="8.4304000000000006"/>
    <n v="99.963099999999997"/>
    <n v="1043.2512426530677"/>
    <n v="23.131956599846291"/>
    <d v="2026-01-27T18:20:18"/>
  </r>
  <r>
    <x v="14"/>
    <x v="15"/>
    <x v="15"/>
    <x v="0"/>
    <n v="14.155319823774294"/>
    <n v="102.92841162284722"/>
    <x v="15"/>
    <n v="76"/>
    <n v="15.13"/>
    <n v="101.54"/>
    <n v="184.5449187113351"/>
    <n v="2.4282226146228303"/>
    <d v="2026-01-26T21:38:04"/>
  </r>
  <r>
    <x v="15"/>
    <x v="16"/>
    <x v="16"/>
    <x v="1"/>
    <n v="13.7563"/>
    <n v="100.5018"/>
    <x v="16"/>
    <n v="46.5"/>
    <n v="18.787199999999999"/>
    <n v="98.993600000000001"/>
    <n v="582.09605051920028"/>
    <n v="12.518194634821512"/>
    <d v="2026-01-27T07:43:28"/>
  </r>
  <r>
    <x v="16"/>
    <x v="17"/>
    <x v="17"/>
    <x v="1"/>
    <n v="13.3611"/>
    <n v="100.9847"/>
    <x v="17"/>
    <n v="74"/>
    <n v="13.8621"/>
    <n v="100.51439999999999"/>
    <n v="75.410446823673666"/>
    <n v="1.0190600922118063"/>
    <d v="2026-01-26T20:13:31"/>
  </r>
  <r>
    <x v="6"/>
    <x v="6"/>
    <x v="6"/>
    <x v="0"/>
    <n v="16.434446000000001"/>
    <n v="102.888458"/>
    <x v="18"/>
    <n v="23.6"/>
    <n v="12.683299999999999"/>
    <n v="101.27889999999999"/>
    <n v="451.63510839999998"/>
    <n v="19.100000000000001"/>
    <n v="0.46875"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  <r>
    <x v="17"/>
    <x v="18"/>
    <x v="18"/>
    <x v="2"/>
    <m/>
    <m/>
    <x v="1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5BD27-DB44-46B0-8B29-3F276C743702}" name="PivotTable2" cacheId="9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16">
    <pivotField showAll="0">
      <items count="18">
        <item x="15"/>
        <item x="7"/>
        <item x="1"/>
        <item x="6"/>
        <item x="5"/>
        <item x="16"/>
        <item x="12"/>
        <item x="2"/>
        <item x="9"/>
        <item x="13"/>
        <item x="8"/>
        <item x="10"/>
        <item x="4"/>
        <item x="14"/>
        <item x="11"/>
        <item x="3"/>
        <item x="0"/>
        <item t="default"/>
      </items>
    </pivotField>
    <pivotField showAll="0">
      <items count="19">
        <item x="5"/>
        <item x="7"/>
        <item x="8"/>
        <item x="6"/>
        <item x="9"/>
        <item x="16"/>
        <item x="10"/>
        <item x="3"/>
        <item x="13"/>
        <item x="2"/>
        <item x="11"/>
        <item x="0"/>
        <item x="14"/>
        <item x="17"/>
        <item x="12"/>
        <item x="15"/>
        <item x="4"/>
        <item x="1"/>
        <item t="default"/>
      </items>
    </pivotField>
    <pivotField showAll="0">
      <items count="19">
        <item x="4"/>
        <item x="6"/>
        <item x="2"/>
        <item x="1"/>
        <item x="9"/>
        <item x="17"/>
        <item x="3"/>
        <item x="16"/>
        <item x="5"/>
        <item x="8"/>
        <item x="0"/>
        <item x="7"/>
        <item x="13"/>
        <item x="11"/>
        <item x="15"/>
        <item x="12"/>
        <item x="14"/>
        <item x="10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showAll="0">
      <items count="20">
        <item x="18"/>
        <item x="17"/>
        <item x="15"/>
        <item x="3"/>
        <item x="7"/>
        <item x="8"/>
        <item x="9"/>
        <item x="1"/>
        <item x="5"/>
        <item x="10"/>
        <item x="11"/>
        <item x="0"/>
        <item x="13"/>
        <item x="16"/>
        <item x="4"/>
        <item x="12"/>
        <item x="6"/>
        <item x="14"/>
        <item x="2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4">
    <field x="15"/>
    <field x="14"/>
    <field x="13"/>
    <field x="3"/>
  </rowFields>
  <rowItems count="4">
    <i>
      <x v="24"/>
    </i>
    <i>
      <x v="25"/>
    </i>
    <i>
      <x v="26"/>
    </i>
    <i t="grand">
      <x/>
    </i>
  </rowItems>
  <colItems count="1">
    <i/>
  </colItems>
  <dataFields count="1">
    <dataField name="Count of สถานะปัจจุบัน" fld="3" subtotal="count" baseField="0" baseItem="0"/>
  </dataFields>
  <formats count="12"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  <format dxfId="39">
      <pivotArea field="3" type="button" dataOnly="0" labelOnly="1" outline="0" axis="axisRow" fieldPosition="3"/>
    </format>
    <format dxfId="38">
      <pivotArea dataOnly="0" labelOnly="1" grandRow="1" outline="0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3"/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19">
      <pivotArea dataOnly="0" labelOnly="1" fieldPosition="0">
        <references count="1">
          <reference field="15" count="3">
            <x v="24"/>
            <x v="25"/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7EC0F-33DD-4646-A79E-0F94DA346126}" name="PivotTable3" cacheId="10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24" firstHeaderRow="1" firstDataRow="1" firstDataCol="1"/>
  <pivotFields count="16">
    <pivotField axis="axisRow" multipleItemSelectionAllowed="1" showAll="0">
      <items count="19">
        <item x="15"/>
        <item x="7"/>
        <item x="1"/>
        <item x="6"/>
        <item x="5"/>
        <item h="1" x="16"/>
        <item h="1" x="12"/>
        <item h="1" x="2"/>
        <item h="1" x="9"/>
        <item h="1" x="13"/>
        <item h="1" x="8"/>
        <item h="1" x="10"/>
        <item h="1" x="4"/>
        <item h="1" x="14"/>
        <item h="1" x="11"/>
        <item h="1" x="3"/>
        <item h="1" x="0"/>
        <item h="1" x="17"/>
        <item t="default"/>
      </items>
    </pivotField>
    <pivotField axis="axisRow" showAll="0">
      <items count="20">
        <item x="5"/>
        <item x="7"/>
        <item x="8"/>
        <item x="6"/>
        <item x="9"/>
        <item x="10"/>
        <item x="3"/>
        <item x="13"/>
        <item x="2"/>
        <item x="11"/>
        <item x="0"/>
        <item x="14"/>
        <item x="17"/>
        <item x="12"/>
        <item x="15"/>
        <item x="4"/>
        <item x="1"/>
        <item x="18"/>
        <item x="16"/>
        <item t="default"/>
      </items>
    </pivotField>
    <pivotField axis="axisRow" showAll="0">
      <items count="20">
        <item x="4"/>
        <item x="6"/>
        <item x="2"/>
        <item x="1"/>
        <item x="9"/>
        <item x="17"/>
        <item x="3"/>
        <item x="16"/>
        <item x="5"/>
        <item x="8"/>
        <item x="0"/>
        <item x="7"/>
        <item x="13"/>
        <item x="11"/>
        <item x="15"/>
        <item x="12"/>
        <item x="14"/>
        <item x="10"/>
        <item x="18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4">
    <field x="0"/>
    <field x="1"/>
    <field x="2"/>
    <field x="3"/>
  </rowFields>
  <rowItems count="21">
    <i>
      <x/>
    </i>
    <i r="1">
      <x v="18"/>
    </i>
    <i r="2">
      <x v="7"/>
    </i>
    <i r="3">
      <x/>
    </i>
    <i>
      <x v="1"/>
    </i>
    <i r="1">
      <x v="1"/>
    </i>
    <i r="2">
      <x v="11"/>
    </i>
    <i r="3">
      <x/>
    </i>
    <i>
      <x v="2"/>
    </i>
    <i r="1">
      <x v="16"/>
    </i>
    <i r="2">
      <x v="3"/>
    </i>
    <i r="3">
      <x/>
    </i>
    <i>
      <x v="3"/>
    </i>
    <i r="1">
      <x v="3"/>
    </i>
    <i r="2">
      <x v="1"/>
    </i>
    <i r="3">
      <x v="1"/>
    </i>
    <i>
      <x v="4"/>
    </i>
    <i r="1">
      <x/>
    </i>
    <i r="2">
      <x v="8"/>
    </i>
    <i r="3">
      <x/>
    </i>
    <i t="grand">
      <x/>
    </i>
  </rowItems>
  <colItems count="1">
    <i/>
  </colItems>
  <formats count="19">
    <format dxfId="18">
      <pivotArea type="all" dataOnly="0" outline="0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0" count="1" selected="0">
            <x v="0"/>
          </reference>
          <reference field="1" count="1">
            <x v="18"/>
          </reference>
        </references>
      </pivotArea>
    </format>
    <format dxfId="13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2">
      <pivotArea dataOnly="0" labelOnly="1" fieldPosition="0">
        <references count="2">
          <reference field="0" count="1" selected="0">
            <x v="2"/>
          </reference>
          <reference field="1" count="1">
            <x v="16"/>
          </reference>
        </references>
      </pivotArea>
    </format>
    <format dxfId="11">
      <pivotArea dataOnly="0" labelOnly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0">
      <pivotArea dataOnly="0" labelOnly="1" fieldPosition="0">
        <references count="2">
          <reference field="0" count="1" selected="0">
            <x v="4"/>
          </reference>
          <reference field="1" count="1">
            <x v="0"/>
          </reference>
        </references>
      </pivotArea>
    </format>
    <format dxfId="9">
      <pivotArea dataOnly="0" labelOnly="1" fieldPosition="0">
        <references count="3">
          <reference field="0" count="1" selected="0">
            <x v="0"/>
          </reference>
          <reference field="1" count="1" selected="0">
            <x v="18"/>
          </reference>
          <reference field="2" count="1">
            <x v="7"/>
          </reference>
        </references>
      </pivotArea>
    </format>
    <format dxfId="8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1"/>
          </reference>
        </references>
      </pivotArea>
    </format>
    <format dxfId="7">
      <pivotArea dataOnly="0" labelOnly="1" fieldPosition="0">
        <references count="3">
          <reference field="0" count="1" selected="0">
            <x v="2"/>
          </reference>
          <reference field="1" count="1" selected="0">
            <x v="16"/>
          </reference>
          <reference field="2" count="1">
            <x v="3"/>
          </reference>
        </references>
      </pivotArea>
    </format>
    <format dxfId="6">
      <pivotArea dataOnly="0" labelOnly="1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2" count="1">
            <x v="1"/>
          </reference>
        </references>
      </pivotArea>
    </format>
    <format dxfId="5">
      <pivotArea dataOnly="0" labelOnly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2" count="1">
            <x v="8"/>
          </reference>
        </references>
      </pivotArea>
    </format>
    <format dxfId="4">
      <pivotArea dataOnly="0" labelOnly="1" fieldPosition="0">
        <references count="4">
          <reference field="0" count="1" selected="0">
            <x v="0"/>
          </reference>
          <reference field="1" count="1" selected="0">
            <x v="18"/>
          </reference>
          <reference field="2" count="1" selected="0">
            <x v="7"/>
          </reference>
          <reference field="3" count="1">
            <x v="0"/>
          </reference>
        </references>
      </pivotArea>
    </format>
    <format dxfId="3">
      <pivotArea dataOnly="0" labelOnly="1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2">
      <pivotArea dataOnly="0" labelOnly="1" fieldPosition="0">
        <references count="4">
          <reference field="0" count="1" selected="0">
            <x v="2"/>
          </reference>
          <reference field="1" count="1" selected="0">
            <x v="16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">
      <pivotArea dataOnly="0" labelOnly="1" fieldPosition="0">
        <references count="4">
          <reference field="0" count="1" selected="0">
            <x v="3"/>
          </reference>
          <reference field="1" count="1" selected="0">
            <x v="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0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3B52458-07F8-4847-B0F1-6A61C2E5A61E}" autoFormatId="16" applyNumberFormats="0" applyBorderFormats="0" applyFontFormats="0" applyPatternFormats="0" applyAlignmentFormats="0" applyWidthHeightFormats="0">
  <queryTableRefresh nextId="14">
    <queryTableFields count="13">
      <queryTableField id="1" name=" Tracking Number" tableColumnId="1"/>
      <queryTableField id="2" name="ชื่อผู้ส่ง" tableColumnId="2"/>
      <queryTableField id="3" name="ชื่อผู้รับ" tableColumnId="3"/>
      <queryTableField id="4" name="สถานะปัจจุบัน" tableColumnId="4"/>
      <queryTableField id="5" name="Latitude" tableColumnId="5"/>
      <queryTableField id="6" name="Longitude" tableColumnId="6"/>
      <queryTableField id="7" name="Timestamp " tableColumnId="7"/>
      <queryTableField id="8" name="ความเร็ว (km/h)" tableColumnId="8"/>
      <queryTableField id="9" name="Lat_ปลายทาง" tableColumnId="9"/>
      <queryTableField id="10" name="Lon_ปลายทาง" tableColumnId="10"/>
      <queryTableField id="11" name="ระยะทางเหลือ (km)" tableColumnId="11"/>
      <queryTableField id="12" name="ระยะเวลาที่ใช้" tableColumnId="12"/>
      <queryTableField id="13" name="เวลาที่คาดว่าจะถึง" tableColumnId="13"/>
    </queryTableFields>
  </queryTableRefresh>
</queryTable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2AB9F-9474-4D2D-B612-600F31E0CD6A}" name="updateweb" displayName="updateweb" ref="A1:M22" tableType="queryTable" totalsRowShown="0">
  <autoFilter ref="A1:M22" xr:uid="{C822AB9F-9474-4D2D-B612-600F31E0CD6A}"/>
  <tableColumns count="13">
    <tableColumn id="1" xr3:uid="{9F87EA37-AD8E-4DEB-AECD-7C8090F05839}" uniqueName="1" name=" Tracking Number" queryTableFieldId="1" dataDxfId="49"/>
    <tableColumn id="2" xr3:uid="{949C6939-0E87-40FD-B609-A72551BF4883}" uniqueName="2" name="ชื่อผู้ส่ง" queryTableFieldId="2" dataDxfId="48"/>
    <tableColumn id="3" xr3:uid="{37F6EC34-BA1D-4D89-90A3-BC15D9179D40}" uniqueName="3" name="ชื่อผู้รับ" queryTableFieldId="3" dataDxfId="47"/>
    <tableColumn id="4" xr3:uid="{E00DAA5B-0D58-43A7-833E-BB3AAC086782}" uniqueName="4" name="สถานะปัจจุบัน" queryTableFieldId="4" dataDxfId="46"/>
    <tableColumn id="5" xr3:uid="{FA41C46B-3BDE-401C-9077-EC2385B4E0AE}" uniqueName="5" name="Latitude" queryTableFieldId="5"/>
    <tableColumn id="6" xr3:uid="{77B6C5ED-08F9-4ABF-B6AC-C3D578981BB6}" uniqueName="6" name="Longitude" queryTableFieldId="6"/>
    <tableColumn id="7" xr3:uid="{66CECA8B-2FE2-4C6D-803D-3F059AA53FAB}" uniqueName="7" name="Timestamp " queryTableFieldId="7" dataDxfId="45"/>
    <tableColumn id="8" xr3:uid="{86906134-9F44-472A-8218-FE6234327211}" uniqueName="8" name="ความเร็ว (km/h)" queryTableFieldId="8"/>
    <tableColumn id="9" xr3:uid="{B0143604-A352-4531-AB1B-8E32CD586711}" uniqueName="9" name="Lat_ปลายทาง" queryTableFieldId="9"/>
    <tableColumn id="10" xr3:uid="{70F6EE18-7574-4BEC-8332-0CCF2CCE3B28}" uniqueName="10" name="Lon_ปลายทาง" queryTableFieldId="10"/>
    <tableColumn id="11" xr3:uid="{26F7D066-511D-47B7-8341-19602B414B53}" uniqueName="11" name="ระยะทางเหลือ (km)" queryTableFieldId="11"/>
    <tableColumn id="12" xr3:uid="{2E8CF15C-B7D2-4A2D-9E76-E1AD1A9D77D5}" uniqueName="12" name="ระยะเวลาที่ใช้" queryTableFieldId="12"/>
    <tableColumn id="13" xr3:uid="{2BCC434C-C8D9-40B4-83F2-98347EAEDDF5}" uniqueName="13" name="เวลาที่คาดว่าจะถึง" queryTableFieldId="13" dataDxf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1374-EF96-4EF6-958F-54128F8F667B}">
  <sheetPr codeName="Sheet7"/>
  <dimension ref="A1:M22"/>
  <sheetViews>
    <sheetView zoomScale="55" zoomScaleNormal="55" workbookViewId="0"/>
  </sheetViews>
  <sheetFormatPr defaultRowHeight="15" x14ac:dyDescent="0.25"/>
  <cols>
    <col min="1" max="1" width="21.08984375" bestFit="1" customWidth="1"/>
    <col min="2" max="2" width="31.453125" bestFit="1" customWidth="1"/>
    <col min="3" max="3" width="26.54296875" bestFit="1" customWidth="1"/>
    <col min="4" max="4" width="15.81640625" bestFit="1" customWidth="1"/>
    <col min="5" max="5" width="12.1796875" bestFit="1" customWidth="1"/>
    <col min="6" max="6" width="13.6328125" bestFit="1" customWidth="1"/>
    <col min="7" max="7" width="15.453125" bestFit="1" customWidth="1"/>
    <col min="8" max="8" width="18.90625" bestFit="1" customWidth="1"/>
    <col min="9" max="9" width="16.6328125" bestFit="1" customWidth="1"/>
    <col min="10" max="10" width="16.90625" bestFit="1" customWidth="1"/>
    <col min="11" max="11" width="21.26953125" bestFit="1" customWidth="1"/>
    <col min="12" max="12" width="15.453125" bestFit="1" customWidth="1"/>
    <col min="13" max="13" width="19.453125" bestFit="1" customWidth="1"/>
  </cols>
  <sheetData>
    <row r="1" spans="1:13" x14ac:dyDescent="0.25">
      <c r="A1" t="s">
        <v>0</v>
      </c>
      <c r="B1" t="s">
        <v>66</v>
      </c>
      <c r="C1" t="s">
        <v>67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7</v>
      </c>
      <c r="L1" t="s">
        <v>13</v>
      </c>
      <c r="M1" t="s">
        <v>12</v>
      </c>
    </row>
    <row r="2" spans="1:13" x14ac:dyDescent="0.25">
      <c r="A2" s="9" t="s">
        <v>19</v>
      </c>
      <c r="B2" s="9" t="s">
        <v>34</v>
      </c>
      <c r="C2" s="9" t="s">
        <v>59</v>
      </c>
      <c r="D2" s="9" t="s">
        <v>10</v>
      </c>
      <c r="E2">
        <v>8.3544020000000003</v>
      </c>
      <c r="F2">
        <v>99.927104999999997</v>
      </c>
      <c r="G2" s="9" t="s">
        <v>77</v>
      </c>
      <c r="H2">
        <v>54</v>
      </c>
      <c r="I2">
        <v>13.8621</v>
      </c>
      <c r="J2">
        <v>100.51439999999999</v>
      </c>
      <c r="K2">
        <v>615.76859230000002</v>
      </c>
      <c r="L2">
        <v>11.4</v>
      </c>
      <c r="M2" s="19">
        <v>0.14652777777777778</v>
      </c>
    </row>
    <row r="3" spans="1:13" x14ac:dyDescent="0.25">
      <c r="A3" s="9" t="s">
        <v>20</v>
      </c>
      <c r="B3" s="9" t="s">
        <v>35</v>
      </c>
      <c r="C3" s="9" t="s">
        <v>60</v>
      </c>
      <c r="D3" s="9" t="s">
        <v>11</v>
      </c>
      <c r="E3">
        <v>16.366668000000001</v>
      </c>
      <c r="F3">
        <v>102.78998199999999</v>
      </c>
      <c r="G3" s="9" t="s">
        <v>78</v>
      </c>
      <c r="H3">
        <v>46.5</v>
      </c>
      <c r="I3">
        <v>13.7563</v>
      </c>
      <c r="J3">
        <v>100.5018</v>
      </c>
      <c r="K3">
        <v>380.26683300000002</v>
      </c>
      <c r="L3">
        <v>8.1999999999999993</v>
      </c>
      <c r="M3" s="19">
        <v>1.1805555555555555E-2</v>
      </c>
    </row>
    <row r="4" spans="1:13" x14ac:dyDescent="0.25">
      <c r="A4" s="9" t="s">
        <v>21</v>
      </c>
      <c r="B4" s="9" t="s">
        <v>36</v>
      </c>
      <c r="C4" s="9" t="s">
        <v>61</v>
      </c>
      <c r="D4" s="9" t="s">
        <v>10</v>
      </c>
      <c r="E4">
        <v>14.944411000000001</v>
      </c>
      <c r="F4">
        <v>102.15678800000001</v>
      </c>
      <c r="G4" s="9" t="s">
        <v>79</v>
      </c>
      <c r="H4">
        <v>7</v>
      </c>
      <c r="I4">
        <v>7.1898</v>
      </c>
      <c r="J4">
        <v>100.5951</v>
      </c>
      <c r="K4">
        <v>878.92530769999996</v>
      </c>
      <c r="L4">
        <v>125.6</v>
      </c>
      <c r="M4" s="19">
        <v>0.90277777777777779</v>
      </c>
    </row>
    <row r="5" spans="1:13" x14ac:dyDescent="0.25">
      <c r="A5" s="9" t="s">
        <v>22</v>
      </c>
      <c r="B5" s="9" t="s">
        <v>37</v>
      </c>
      <c r="C5" s="9" t="s">
        <v>62</v>
      </c>
      <c r="D5" s="9" t="s">
        <v>11</v>
      </c>
      <c r="E5">
        <v>14.093954</v>
      </c>
      <c r="F5">
        <v>100.49885500000001</v>
      </c>
      <c r="G5" s="9" t="s">
        <v>80</v>
      </c>
      <c r="H5">
        <v>33.299999999999997</v>
      </c>
      <c r="I5">
        <v>13.3611</v>
      </c>
      <c r="J5">
        <v>100.9847</v>
      </c>
      <c r="K5">
        <v>96.926272780000005</v>
      </c>
      <c r="L5">
        <v>2.9</v>
      </c>
      <c r="M5" s="19">
        <v>0.79236111111111107</v>
      </c>
    </row>
    <row r="6" spans="1:13" x14ac:dyDescent="0.25">
      <c r="A6" s="9" t="s">
        <v>23</v>
      </c>
      <c r="B6" s="9" t="s">
        <v>38</v>
      </c>
      <c r="C6" s="9" t="s">
        <v>63</v>
      </c>
      <c r="D6" s="9" t="s">
        <v>11</v>
      </c>
      <c r="E6">
        <v>14.919872</v>
      </c>
      <c r="F6">
        <v>102.165267</v>
      </c>
      <c r="G6" s="9" t="s">
        <v>81</v>
      </c>
      <c r="H6">
        <v>63.9</v>
      </c>
      <c r="I6">
        <v>7.8803999999999998</v>
      </c>
      <c r="J6">
        <v>98.392300000000006</v>
      </c>
      <c r="K6">
        <v>884.07851419999997</v>
      </c>
      <c r="L6">
        <v>13.8</v>
      </c>
      <c r="M6" s="19">
        <v>0.24791666666666667</v>
      </c>
    </row>
    <row r="7" spans="1:13" x14ac:dyDescent="0.25">
      <c r="A7" s="9" t="s">
        <v>24</v>
      </c>
      <c r="B7" s="9" t="s">
        <v>39</v>
      </c>
      <c r="C7" s="9" t="s">
        <v>64</v>
      </c>
      <c r="D7" s="9" t="s">
        <v>11</v>
      </c>
      <c r="E7">
        <v>7.222531</v>
      </c>
      <c r="F7">
        <v>100.52243199999999</v>
      </c>
      <c r="G7" s="9" t="s">
        <v>82</v>
      </c>
      <c r="H7">
        <v>74</v>
      </c>
      <c r="I7">
        <v>13.3611</v>
      </c>
      <c r="J7">
        <v>100.9847</v>
      </c>
      <c r="K7">
        <v>684.44684280000001</v>
      </c>
      <c r="L7">
        <v>9.1999999999999993</v>
      </c>
      <c r="M7" s="19">
        <v>5.6944444444444443E-2</v>
      </c>
    </row>
    <row r="8" spans="1:13" x14ac:dyDescent="0.25">
      <c r="A8" s="9" t="s">
        <v>25</v>
      </c>
      <c r="B8" s="9" t="s">
        <v>40</v>
      </c>
      <c r="C8" s="9" t="s">
        <v>65</v>
      </c>
      <c r="D8" s="9" t="s">
        <v>10</v>
      </c>
      <c r="E8">
        <v>16.434446000000001</v>
      </c>
      <c r="F8">
        <v>102.888458</v>
      </c>
      <c r="G8" s="9" t="s">
        <v>83</v>
      </c>
      <c r="H8">
        <v>23.6</v>
      </c>
      <c r="I8">
        <v>12.683299999999999</v>
      </c>
      <c r="J8">
        <v>101.27889999999999</v>
      </c>
      <c r="K8">
        <v>451.63510839999998</v>
      </c>
      <c r="L8">
        <v>19.100000000000001</v>
      </c>
      <c r="M8" s="19">
        <v>0.46875</v>
      </c>
    </row>
    <row r="9" spans="1:13" x14ac:dyDescent="0.25">
      <c r="A9" s="9" t="s">
        <v>26</v>
      </c>
      <c r="B9" s="9" t="s">
        <v>41</v>
      </c>
      <c r="C9" s="9" t="s">
        <v>50</v>
      </c>
      <c r="D9" s="9" t="s">
        <v>11</v>
      </c>
      <c r="E9">
        <v>7.1371820000000001</v>
      </c>
      <c r="F9">
        <v>100.63176</v>
      </c>
      <c r="G9" s="9" t="s">
        <v>84</v>
      </c>
      <c r="H9">
        <v>27.5</v>
      </c>
      <c r="I9">
        <v>8.4304000000000006</v>
      </c>
      <c r="J9">
        <v>99.963099999999997</v>
      </c>
      <c r="K9">
        <v>161.56963690000001</v>
      </c>
      <c r="L9">
        <v>5.9</v>
      </c>
      <c r="M9" s="19">
        <v>0.91597222222222219</v>
      </c>
    </row>
    <row r="10" spans="1:13" x14ac:dyDescent="0.25">
      <c r="A10" s="9" t="s">
        <v>27</v>
      </c>
      <c r="B10" s="9" t="s">
        <v>42</v>
      </c>
      <c r="C10" s="9" t="s">
        <v>51</v>
      </c>
      <c r="D10" s="9" t="s">
        <v>11</v>
      </c>
      <c r="E10">
        <v>17.462606999999998</v>
      </c>
      <c r="F10">
        <v>102.771186</v>
      </c>
      <c r="G10" s="9" t="s">
        <v>85</v>
      </c>
      <c r="H10">
        <v>67</v>
      </c>
      <c r="I10">
        <v>13.7563</v>
      </c>
      <c r="J10">
        <v>100.5018</v>
      </c>
      <c r="K10">
        <v>478.42045150000001</v>
      </c>
      <c r="L10">
        <v>7.1</v>
      </c>
      <c r="M10" s="19">
        <v>0.96875</v>
      </c>
    </row>
    <row r="11" spans="1:13" x14ac:dyDescent="0.25">
      <c r="A11" s="9" t="s">
        <v>28</v>
      </c>
      <c r="B11" s="9" t="s">
        <v>43</v>
      </c>
      <c r="C11" s="9" t="s">
        <v>52</v>
      </c>
      <c r="D11" s="9" t="s">
        <v>10</v>
      </c>
      <c r="E11">
        <v>16.508227999999999</v>
      </c>
      <c r="F11">
        <v>102.828416</v>
      </c>
      <c r="G11" s="9" t="s">
        <v>86</v>
      </c>
      <c r="H11">
        <v>58.4</v>
      </c>
      <c r="I11">
        <v>13.5283</v>
      </c>
      <c r="J11">
        <v>99.813400000000001</v>
      </c>
      <c r="K11">
        <v>463.26334839999998</v>
      </c>
      <c r="L11">
        <v>7.9</v>
      </c>
      <c r="M11" s="19">
        <v>2.0833333333333333E-3</v>
      </c>
    </row>
    <row r="12" spans="1:13" x14ac:dyDescent="0.25">
      <c r="A12" s="9" t="s">
        <v>29</v>
      </c>
      <c r="B12" s="9" t="s">
        <v>44</v>
      </c>
      <c r="C12" s="9" t="s">
        <v>53</v>
      </c>
      <c r="D12" s="9" t="s">
        <v>11</v>
      </c>
      <c r="E12">
        <v>18.867871999999998</v>
      </c>
      <c r="F12">
        <v>98.927432999999994</v>
      </c>
      <c r="G12" s="9" t="s">
        <v>87</v>
      </c>
      <c r="H12">
        <v>66</v>
      </c>
      <c r="I12">
        <v>13.3611</v>
      </c>
      <c r="J12">
        <v>100.9847</v>
      </c>
      <c r="K12">
        <v>650.53346209999995</v>
      </c>
      <c r="L12">
        <v>9.9</v>
      </c>
      <c r="M12" s="19">
        <v>8.1944444444444445E-2</v>
      </c>
    </row>
    <row r="13" spans="1:13" x14ac:dyDescent="0.25">
      <c r="A13" s="9" t="s">
        <v>30</v>
      </c>
      <c r="B13" s="9" t="s">
        <v>45</v>
      </c>
      <c r="C13" s="9" t="s">
        <v>54</v>
      </c>
      <c r="D13" s="9" t="s">
        <v>10</v>
      </c>
      <c r="E13">
        <v>7.1713630000000004</v>
      </c>
      <c r="F13">
        <v>100.61044200000001</v>
      </c>
      <c r="G13" s="9" t="s">
        <v>88</v>
      </c>
      <c r="H13">
        <v>73.099999999999994</v>
      </c>
      <c r="I13">
        <v>13.8621</v>
      </c>
      <c r="J13">
        <v>100.51439999999999</v>
      </c>
      <c r="K13">
        <v>744.05000819999998</v>
      </c>
      <c r="L13">
        <v>10.199999999999999</v>
      </c>
      <c r="M13" s="19">
        <v>9.5138888888888884E-2</v>
      </c>
    </row>
    <row r="14" spans="1:13" x14ac:dyDescent="0.25">
      <c r="A14" s="9" t="s">
        <v>31</v>
      </c>
      <c r="B14" s="9" t="s">
        <v>46</v>
      </c>
      <c r="C14" s="9" t="s">
        <v>55</v>
      </c>
      <c r="D14" s="9" t="s">
        <v>11</v>
      </c>
      <c r="E14">
        <v>9.1672740000000008</v>
      </c>
      <c r="F14">
        <v>99.327614999999994</v>
      </c>
      <c r="G14" s="9" t="s">
        <v>89</v>
      </c>
      <c r="H14">
        <v>32.1</v>
      </c>
      <c r="I14">
        <v>13.8621</v>
      </c>
      <c r="J14">
        <v>100.51439999999999</v>
      </c>
      <c r="K14">
        <v>537.80737490000001</v>
      </c>
      <c r="L14">
        <v>16.8</v>
      </c>
      <c r="M14" s="19">
        <v>0.36944444444444446</v>
      </c>
    </row>
    <row r="15" spans="1:13" x14ac:dyDescent="0.25">
      <c r="A15" s="9" t="s">
        <v>32</v>
      </c>
      <c r="B15" s="9" t="s">
        <v>47</v>
      </c>
      <c r="C15" s="9" t="s">
        <v>56</v>
      </c>
      <c r="D15" s="9" t="s">
        <v>11</v>
      </c>
      <c r="E15">
        <v>13.816435999999999</v>
      </c>
      <c r="F15">
        <v>100.463942</v>
      </c>
      <c r="G15" s="9" t="s">
        <v>90</v>
      </c>
      <c r="H15">
        <v>43</v>
      </c>
      <c r="I15">
        <v>9.1381999999999994</v>
      </c>
      <c r="J15">
        <v>99.321700000000007</v>
      </c>
      <c r="K15">
        <v>534.87148999999999</v>
      </c>
      <c r="L15">
        <v>12.4</v>
      </c>
      <c r="M15" s="19">
        <v>0.18958333333333333</v>
      </c>
    </row>
    <row r="16" spans="1:13" x14ac:dyDescent="0.25">
      <c r="A16" s="9" t="s">
        <v>33</v>
      </c>
      <c r="B16" s="9" t="s">
        <v>48</v>
      </c>
      <c r="C16" s="9" t="s">
        <v>57</v>
      </c>
      <c r="D16" s="9" t="s">
        <v>10</v>
      </c>
      <c r="E16">
        <v>17.415026000000001</v>
      </c>
      <c r="F16">
        <v>102.738826</v>
      </c>
      <c r="G16" s="9" t="s">
        <v>91</v>
      </c>
      <c r="H16">
        <v>45.1</v>
      </c>
      <c r="I16">
        <v>8.4304000000000006</v>
      </c>
      <c r="J16">
        <v>99.963099999999997</v>
      </c>
      <c r="K16">
        <v>1043.2512429999999</v>
      </c>
      <c r="L16">
        <v>23.1</v>
      </c>
      <c r="M16" s="19">
        <v>0.63472222222222219</v>
      </c>
    </row>
    <row r="17" spans="1:13" x14ac:dyDescent="0.25">
      <c r="A17" s="9" t="s">
        <v>33</v>
      </c>
      <c r="B17" s="9" t="s">
        <v>49</v>
      </c>
      <c r="C17" s="9" t="s">
        <v>58</v>
      </c>
      <c r="D17" s="9" t="s">
        <v>10</v>
      </c>
      <c r="E17">
        <v>14.155319820000001</v>
      </c>
      <c r="F17">
        <v>102.9284116</v>
      </c>
      <c r="G17" s="9" t="s">
        <v>92</v>
      </c>
      <c r="H17">
        <v>76</v>
      </c>
      <c r="I17">
        <v>15.13</v>
      </c>
      <c r="J17">
        <v>101.54</v>
      </c>
      <c r="K17">
        <v>184.54491870000001</v>
      </c>
      <c r="L17">
        <v>2.4</v>
      </c>
      <c r="M17" s="19">
        <v>0.77222222222222225</v>
      </c>
    </row>
    <row r="18" spans="1:13" x14ac:dyDescent="0.25">
      <c r="A18" s="9" t="s">
        <v>71</v>
      </c>
      <c r="B18" s="9" t="s">
        <v>73</v>
      </c>
      <c r="C18" s="9" t="s">
        <v>74</v>
      </c>
      <c r="D18" s="9" t="s">
        <v>11</v>
      </c>
      <c r="E18">
        <v>13.7563</v>
      </c>
      <c r="F18">
        <v>100.5018</v>
      </c>
      <c r="G18" s="9" t="s">
        <v>93</v>
      </c>
      <c r="H18">
        <v>46.5</v>
      </c>
      <c r="I18">
        <v>18.787199999999999</v>
      </c>
      <c r="J18">
        <v>98.993600000000001</v>
      </c>
      <c r="K18">
        <v>582.09605050000005</v>
      </c>
      <c r="L18">
        <v>12.5</v>
      </c>
      <c r="M18" s="19">
        <v>0.19305555555555556</v>
      </c>
    </row>
    <row r="19" spans="1:13" x14ac:dyDescent="0.25">
      <c r="A19" s="9" t="s">
        <v>72</v>
      </c>
      <c r="B19" s="9" t="s">
        <v>75</v>
      </c>
      <c r="C19" s="9" t="s">
        <v>76</v>
      </c>
      <c r="D19" s="9" t="s">
        <v>11</v>
      </c>
      <c r="E19">
        <v>13.3611</v>
      </c>
      <c r="F19">
        <v>100.9847</v>
      </c>
      <c r="G19" s="9" t="s">
        <v>94</v>
      </c>
      <c r="H19">
        <v>74</v>
      </c>
      <c r="I19">
        <v>13.8621</v>
      </c>
      <c r="J19">
        <v>100.51439999999999</v>
      </c>
      <c r="K19">
        <v>75.410446820000004</v>
      </c>
      <c r="L19">
        <v>1</v>
      </c>
      <c r="M19" s="19">
        <v>0.71388888888888891</v>
      </c>
    </row>
    <row r="20" spans="1:13" x14ac:dyDescent="0.25">
      <c r="A20" s="9" t="s">
        <v>25</v>
      </c>
      <c r="B20" s="9" t="s">
        <v>40</v>
      </c>
      <c r="C20" s="9" t="s">
        <v>65</v>
      </c>
      <c r="D20" s="9" t="s">
        <v>10</v>
      </c>
      <c r="E20">
        <v>16.434446000000001</v>
      </c>
      <c r="F20">
        <v>102.888458</v>
      </c>
      <c r="G20" s="9" t="s">
        <v>83</v>
      </c>
      <c r="H20">
        <v>23.6</v>
      </c>
      <c r="I20">
        <v>12.683299999999999</v>
      </c>
      <c r="J20">
        <v>101.27889999999999</v>
      </c>
      <c r="K20">
        <v>451.63510839999998</v>
      </c>
      <c r="L20">
        <v>19.100000000000001</v>
      </c>
      <c r="M20" s="19">
        <v>0.46875</v>
      </c>
    </row>
    <row r="21" spans="1:13" x14ac:dyDescent="0.25">
      <c r="A21" s="9" t="s">
        <v>95</v>
      </c>
      <c r="B21" s="9" t="s">
        <v>95</v>
      </c>
      <c r="C21" s="9" t="s">
        <v>95</v>
      </c>
      <c r="D21" s="9" t="s">
        <v>95</v>
      </c>
      <c r="G21" s="9" t="s">
        <v>95</v>
      </c>
      <c r="M21" s="19"/>
    </row>
    <row r="22" spans="1:13" x14ac:dyDescent="0.25">
      <c r="A22" s="9" t="s">
        <v>95</v>
      </c>
      <c r="B22" s="9" t="s">
        <v>95</v>
      </c>
      <c r="C22" s="9" t="s">
        <v>95</v>
      </c>
      <c r="D22" s="9" t="s">
        <v>95</v>
      </c>
      <c r="G22" s="9" t="s">
        <v>95</v>
      </c>
      <c r="M22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0AF5-2A2D-4AD1-82AE-DB7343D75C52}">
  <sheetPr codeName="Sheet9"/>
  <dimension ref="A2:B7"/>
  <sheetViews>
    <sheetView zoomScale="86" workbookViewId="0">
      <selection activeCell="D21" sqref="D21"/>
    </sheetView>
  </sheetViews>
  <sheetFormatPr defaultRowHeight="15" x14ac:dyDescent="0.25"/>
  <cols>
    <col min="1" max="1" width="13.453125" bestFit="1" customWidth="1"/>
    <col min="2" max="2" width="21.26953125" bestFit="1" customWidth="1"/>
    <col min="3" max="18" width="15.36328125" bestFit="1" customWidth="1"/>
    <col min="19" max="19" width="11.7265625" bestFit="1" customWidth="1"/>
    <col min="20" max="20" width="15.08984375" bestFit="1" customWidth="1"/>
    <col min="21" max="21" width="24.54296875" bestFit="1" customWidth="1"/>
    <col min="22" max="24" width="17.54296875" bestFit="1" customWidth="1"/>
    <col min="25" max="35" width="16.26953125" bestFit="1" customWidth="1"/>
    <col min="36" max="38" width="17.54296875" bestFit="1" customWidth="1"/>
    <col min="39" max="39" width="15.08984375" bestFit="1" customWidth="1"/>
    <col min="40" max="40" width="26.453125" bestFit="1" customWidth="1"/>
    <col min="41" max="41" width="29.81640625" bestFit="1" customWidth="1"/>
  </cols>
  <sheetData>
    <row r="2" spans="1:2" x14ac:dyDescent="0.25">
      <c r="A2" s="40" t="s">
        <v>97</v>
      </c>
      <c r="B2" s="40"/>
    </row>
    <row r="3" spans="1:2" x14ac:dyDescent="0.25">
      <c r="A3" s="41" t="s">
        <v>16</v>
      </c>
      <c r="B3" s="42" t="s">
        <v>98</v>
      </c>
    </row>
    <row r="4" spans="1:2" x14ac:dyDescent="0.25">
      <c r="A4" s="43" t="s">
        <v>101</v>
      </c>
      <c r="B4" s="44">
        <v>1</v>
      </c>
    </row>
    <row r="5" spans="1:2" x14ac:dyDescent="0.25">
      <c r="A5" s="43" t="s">
        <v>99</v>
      </c>
      <c r="B5" s="44">
        <v>8</v>
      </c>
    </row>
    <row r="6" spans="1:2" x14ac:dyDescent="0.25">
      <c r="A6" s="43" t="s">
        <v>100</v>
      </c>
      <c r="B6" s="44">
        <v>10</v>
      </c>
    </row>
    <row r="7" spans="1:2" x14ac:dyDescent="0.25">
      <c r="A7" s="43" t="s">
        <v>17</v>
      </c>
      <c r="B7" s="44">
        <v>19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91B0-1AA0-487F-9ED3-34B29F057D5D}">
  <sheetPr codeName="Sheet10"/>
  <dimension ref="A2:A24"/>
  <sheetViews>
    <sheetView workbookViewId="0">
      <selection activeCell="B8" sqref="B8"/>
    </sheetView>
  </sheetViews>
  <sheetFormatPr defaultRowHeight="15" x14ac:dyDescent="0.25"/>
  <cols>
    <col min="1" max="1" width="27.54296875" bestFit="1" customWidth="1"/>
    <col min="2" max="2" width="21.08984375" bestFit="1" customWidth="1"/>
    <col min="3" max="3" width="15.453125" bestFit="1" customWidth="1"/>
    <col min="4" max="4" width="10.81640625" bestFit="1" customWidth="1"/>
    <col min="5" max="5" width="19.453125" bestFit="1" customWidth="1"/>
    <col min="6" max="6" width="17.81640625" bestFit="1" customWidth="1"/>
    <col min="7" max="8" width="11.7265625" bestFit="1" customWidth="1"/>
  </cols>
  <sheetData>
    <row r="2" spans="1:1" x14ac:dyDescent="0.25">
      <c r="A2" s="37" t="s">
        <v>15</v>
      </c>
    </row>
    <row r="3" spans="1:1" x14ac:dyDescent="0.25">
      <c r="A3" s="37" t="s">
        <v>16</v>
      </c>
    </row>
    <row r="4" spans="1:1" x14ac:dyDescent="0.25">
      <c r="A4" s="38" t="s">
        <v>71</v>
      </c>
    </row>
    <row r="5" spans="1:1" x14ac:dyDescent="0.25">
      <c r="A5" s="39" t="s">
        <v>73</v>
      </c>
    </row>
    <row r="6" spans="1:1" x14ac:dyDescent="0.25">
      <c r="A6" s="45" t="s">
        <v>74</v>
      </c>
    </row>
    <row r="7" spans="1:1" x14ac:dyDescent="0.25">
      <c r="A7" s="46" t="s">
        <v>11</v>
      </c>
    </row>
    <row r="8" spans="1:1" x14ac:dyDescent="0.25">
      <c r="A8" s="38" t="s">
        <v>26</v>
      </c>
    </row>
    <row r="9" spans="1:1" x14ac:dyDescent="0.25">
      <c r="A9" s="39" t="s">
        <v>41</v>
      </c>
    </row>
    <row r="10" spans="1:1" x14ac:dyDescent="0.25">
      <c r="A10" s="45" t="s">
        <v>50</v>
      </c>
    </row>
    <row r="11" spans="1:1" x14ac:dyDescent="0.25">
      <c r="A11" s="46" t="s">
        <v>11</v>
      </c>
    </row>
    <row r="12" spans="1:1" x14ac:dyDescent="0.25">
      <c r="A12" s="38" t="s">
        <v>20</v>
      </c>
    </row>
    <row r="13" spans="1:1" x14ac:dyDescent="0.25">
      <c r="A13" s="39" t="s">
        <v>35</v>
      </c>
    </row>
    <row r="14" spans="1:1" x14ac:dyDescent="0.25">
      <c r="A14" s="45" t="s">
        <v>60</v>
      </c>
    </row>
    <row r="15" spans="1:1" x14ac:dyDescent="0.25">
      <c r="A15" s="46" t="s">
        <v>11</v>
      </c>
    </row>
    <row r="16" spans="1:1" x14ac:dyDescent="0.25">
      <c r="A16" s="38" t="s">
        <v>25</v>
      </c>
    </row>
    <row r="17" spans="1:1" x14ac:dyDescent="0.25">
      <c r="A17" s="39" t="s">
        <v>40</v>
      </c>
    </row>
    <row r="18" spans="1:1" x14ac:dyDescent="0.25">
      <c r="A18" s="45" t="s">
        <v>65</v>
      </c>
    </row>
    <row r="19" spans="1:1" x14ac:dyDescent="0.25">
      <c r="A19" s="46" t="s">
        <v>96</v>
      </c>
    </row>
    <row r="20" spans="1:1" x14ac:dyDescent="0.25">
      <c r="A20" s="38" t="s">
        <v>24</v>
      </c>
    </row>
    <row r="21" spans="1:1" x14ac:dyDescent="0.25">
      <c r="A21" s="39" t="s">
        <v>39</v>
      </c>
    </row>
    <row r="22" spans="1:1" x14ac:dyDescent="0.25">
      <c r="A22" s="45" t="s">
        <v>64</v>
      </c>
    </row>
    <row r="23" spans="1:1" x14ac:dyDescent="0.25">
      <c r="A23" s="46" t="s">
        <v>11</v>
      </c>
    </row>
    <row r="24" spans="1:1" x14ac:dyDescent="0.25">
      <c r="A24" s="38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CA66-97DA-1E40-9DD7-D06D03997175}">
  <sheetPr codeName="Sheet1"/>
  <dimension ref="A1:M40"/>
  <sheetViews>
    <sheetView tabSelected="1" zoomScale="40" zoomScaleNormal="40" workbookViewId="0">
      <selection activeCell="G31" sqref="G31"/>
    </sheetView>
  </sheetViews>
  <sheetFormatPr defaultColWidth="10.90625" defaultRowHeight="15" x14ac:dyDescent="0.25"/>
  <cols>
    <col min="1" max="1" width="23" bestFit="1" customWidth="1"/>
    <col min="2" max="2" width="42.81640625" customWidth="1"/>
    <col min="3" max="3" width="37.81640625" customWidth="1"/>
    <col min="4" max="4" width="17" bestFit="1" customWidth="1"/>
    <col min="5" max="5" width="10.6328125" customWidth="1"/>
    <col min="6" max="6" width="13.36328125" bestFit="1" customWidth="1"/>
    <col min="7" max="7" width="15.453125" bestFit="1" customWidth="1"/>
    <col min="8" max="8" width="19.1796875" bestFit="1" customWidth="1"/>
    <col min="9" max="9" width="15" bestFit="1" customWidth="1"/>
    <col min="10" max="10" width="15.6328125" bestFit="1" customWidth="1"/>
    <col min="11" max="11" width="20.81640625" bestFit="1" customWidth="1"/>
    <col min="12" max="12" width="14.6328125" bestFit="1" customWidth="1"/>
    <col min="13" max="13" width="18.81640625" bestFit="1" customWidth="1"/>
  </cols>
  <sheetData>
    <row r="1" spans="1:13" ht="34.049999999999997" customHeight="1" x14ac:dyDescent="0.25">
      <c r="A1" s="7" t="s">
        <v>0</v>
      </c>
      <c r="B1" s="7" t="s">
        <v>66</v>
      </c>
      <c r="C1" s="7" t="s">
        <v>67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8</v>
      </c>
      <c r="J1" s="8" t="s">
        <v>9</v>
      </c>
      <c r="K1" s="8" t="s">
        <v>7</v>
      </c>
      <c r="L1" s="8" t="s">
        <v>13</v>
      </c>
      <c r="M1" s="8" t="s">
        <v>12</v>
      </c>
    </row>
    <row r="2" spans="1:13" ht="24" x14ac:dyDescent="0.65">
      <c r="A2" s="10" t="s">
        <v>19</v>
      </c>
      <c r="B2" s="3" t="s">
        <v>34</v>
      </c>
      <c r="C2" s="1" t="s">
        <v>59</v>
      </c>
      <c r="D2" s="13" t="s">
        <v>96</v>
      </c>
      <c r="E2" s="16">
        <v>8.3544020000000003</v>
      </c>
      <c r="F2" s="16">
        <v>99.927104999999997</v>
      </c>
      <c r="G2" s="5">
        <f ca="1">NOW() - (RANDBETWEEN(0, 1) + RAND())</f>
        <v>46046.938103367247</v>
      </c>
      <c r="H2" s="18">
        <v>54</v>
      </c>
      <c r="I2" s="18">
        <v>13.8621</v>
      </c>
      <c r="J2" s="3">
        <v>100.51439999999999</v>
      </c>
      <c r="K2" s="3">
        <f t="shared" ref="K2:K20" si="0">6371 * 2 * ASIN(SQRT(SIN(RADIANS($I2-$E2)/2)^2 + COS(RADIANS($E2)) * COS(RADIANS($I2)) * SIN(RADIANS($J2-$F2)/2)^2))</f>
        <v>615.76859225551163</v>
      </c>
      <c r="L2" s="4">
        <f>IF(H2&gt;0, K2/H2, 0)</f>
        <v>11.403122078805771</v>
      </c>
      <c r="M2" s="6">
        <f ca="1">NOW() + (L2/24)</f>
        <v>46049.282721637544</v>
      </c>
    </row>
    <row r="3" spans="1:13" ht="24" x14ac:dyDescent="0.65">
      <c r="A3" s="11" t="s">
        <v>20</v>
      </c>
      <c r="B3" s="3" t="s">
        <v>35</v>
      </c>
      <c r="C3" s="1" t="s">
        <v>60</v>
      </c>
      <c r="D3" s="14" t="s">
        <v>11</v>
      </c>
      <c r="E3" s="16">
        <v>16.366668000000001</v>
      </c>
      <c r="F3" s="16">
        <v>102.78998199999999</v>
      </c>
      <c r="G3" s="5">
        <f t="shared" ref="G3:G20" ca="1" si="1">NOW() - (RANDBETWEEN(0, 1) + RAND())</f>
        <v>46047.902850479106</v>
      </c>
      <c r="H3" s="18">
        <v>46.5</v>
      </c>
      <c r="I3" s="18">
        <v>13.7563</v>
      </c>
      <c r="J3" s="3">
        <v>100.5018</v>
      </c>
      <c r="K3" s="3">
        <f t="shared" si="0"/>
        <v>380.26683304868993</v>
      </c>
      <c r="L3" s="4">
        <f t="shared" ref="L3:L19" si="2">IF(H3&gt;0, K3/H3, 0)</f>
        <v>8.1777813558858057</v>
      </c>
      <c r="M3" s="6">
        <f t="shared" ref="M3:M19" ca="1" si="3">NOW() + (L3/24)</f>
        <v>46049.148332440753</v>
      </c>
    </row>
    <row r="4" spans="1:13" ht="24" x14ac:dyDescent="0.65">
      <c r="A4" s="10" t="s">
        <v>21</v>
      </c>
      <c r="B4" s="3" t="s">
        <v>36</v>
      </c>
      <c r="C4" s="1" t="s">
        <v>61</v>
      </c>
      <c r="D4" s="13" t="s">
        <v>96</v>
      </c>
      <c r="E4" s="16">
        <v>14.944411000000001</v>
      </c>
      <c r="F4" s="16">
        <v>102.15678800000001</v>
      </c>
      <c r="G4" s="5">
        <f t="shared" ca="1" si="1"/>
        <v>46047.854814657265</v>
      </c>
      <c r="H4" s="18">
        <v>7</v>
      </c>
      <c r="I4" s="18">
        <v>7.1898</v>
      </c>
      <c r="J4" s="3">
        <v>100.5951</v>
      </c>
      <c r="K4" s="3">
        <f t="shared" si="0"/>
        <v>878.92530766891821</v>
      </c>
      <c r="L4" s="4">
        <f t="shared" si="2"/>
        <v>125.56075823841688</v>
      </c>
      <c r="M4" s="6">
        <f t="shared" ca="1" si="3"/>
        <v>46054.039289810862</v>
      </c>
    </row>
    <row r="5" spans="1:13" ht="24" x14ac:dyDescent="0.65">
      <c r="A5" s="11" t="s">
        <v>22</v>
      </c>
      <c r="B5" s="3" t="s">
        <v>37</v>
      </c>
      <c r="C5" s="1" t="s">
        <v>62</v>
      </c>
      <c r="D5" s="14" t="s">
        <v>11</v>
      </c>
      <c r="E5" s="16">
        <v>14.093954</v>
      </c>
      <c r="F5" s="16">
        <v>100.49885500000001</v>
      </c>
      <c r="G5" s="5">
        <f t="shared" ca="1" si="1"/>
        <v>46047.464607852191</v>
      </c>
      <c r="H5" s="18">
        <v>33.299999999999997</v>
      </c>
      <c r="I5" s="18">
        <v>13.3611</v>
      </c>
      <c r="J5" s="3">
        <v>100.9847</v>
      </c>
      <c r="K5" s="3">
        <f t="shared" si="0"/>
        <v>96.926272776925643</v>
      </c>
      <c r="L5" s="4">
        <f t="shared" si="2"/>
        <v>2.9106988821899593</v>
      </c>
      <c r="M5" s="6">
        <f t="shared" ca="1" si="3"/>
        <v>46048.928870671014</v>
      </c>
    </row>
    <row r="6" spans="1:13" ht="24" x14ac:dyDescent="0.65">
      <c r="A6" s="10" t="s">
        <v>23</v>
      </c>
      <c r="B6" s="3" t="s">
        <v>38</v>
      </c>
      <c r="C6" s="1" t="s">
        <v>63</v>
      </c>
      <c r="D6" s="13" t="s">
        <v>11</v>
      </c>
      <c r="E6" s="16">
        <v>14.919872</v>
      </c>
      <c r="F6" s="16">
        <v>102.165267</v>
      </c>
      <c r="G6" s="5">
        <f ca="1">NOW() - (RANDBETWEEN(0, 1) + RAND())</f>
        <v>46048.179721812056</v>
      </c>
      <c r="H6" s="18">
        <v>63.9</v>
      </c>
      <c r="I6" s="18">
        <v>7.8803999999999998</v>
      </c>
      <c r="J6" s="3">
        <v>98.392300000000006</v>
      </c>
      <c r="K6" s="3">
        <f t="shared" si="0"/>
        <v>884.07851417367442</v>
      </c>
      <c r="L6" s="4">
        <f t="shared" si="2"/>
        <v>13.835344509760164</v>
      </c>
      <c r="M6" s="6">
        <f t="shared" ca="1" si="3"/>
        <v>46049.384064238831</v>
      </c>
    </row>
    <row r="7" spans="1:13" ht="24" x14ac:dyDescent="0.65">
      <c r="A7" s="11" t="s">
        <v>24</v>
      </c>
      <c r="B7" s="3" t="s">
        <v>39</v>
      </c>
      <c r="C7" s="1" t="s">
        <v>64</v>
      </c>
      <c r="D7" s="14" t="s">
        <v>11</v>
      </c>
      <c r="E7" s="16">
        <v>7.222531</v>
      </c>
      <c r="F7" s="16">
        <v>100.52243199999999</v>
      </c>
      <c r="G7" s="5">
        <f t="shared" ca="1" si="1"/>
        <v>46048.702817702419</v>
      </c>
      <c r="H7" s="18">
        <v>74</v>
      </c>
      <c r="I7" s="18">
        <v>13.3611</v>
      </c>
      <c r="J7" s="3">
        <v>100.9847</v>
      </c>
      <c r="K7" s="3">
        <f t="shared" si="0"/>
        <v>684.44684277544741</v>
      </c>
      <c r="L7" s="4">
        <f t="shared" si="2"/>
        <v>9.2492816591276679</v>
      </c>
      <c r="M7" s="6">
        <f t="shared" ca="1" si="3"/>
        <v>46049.192978286723</v>
      </c>
    </row>
    <row r="8" spans="1:13" ht="24" x14ac:dyDescent="0.65">
      <c r="A8" s="10" t="s">
        <v>25</v>
      </c>
      <c r="B8" s="3" t="s">
        <v>40</v>
      </c>
      <c r="C8" s="1" t="s">
        <v>65</v>
      </c>
      <c r="D8" s="13" t="s">
        <v>96</v>
      </c>
      <c r="E8" s="16">
        <v>16.434446000000001</v>
      </c>
      <c r="F8" s="16">
        <v>102.888458</v>
      </c>
      <c r="G8" s="5">
        <f t="shared" ca="1" si="1"/>
        <v>46047.94528287679</v>
      </c>
      <c r="H8" s="18">
        <v>23.6</v>
      </c>
      <c r="I8" s="18">
        <v>12.683299999999999</v>
      </c>
      <c r="J8" s="3">
        <v>101.27889999999999</v>
      </c>
      <c r="K8" s="3">
        <f t="shared" si="0"/>
        <v>451.63510835064039</v>
      </c>
      <c r="L8" s="4">
        <f t="shared" si="2"/>
        <v>19.137080862315269</v>
      </c>
      <c r="M8" s="6">
        <f t="shared" ca="1" si="3"/>
        <v>46049.60496992019</v>
      </c>
    </row>
    <row r="9" spans="1:13" ht="24" x14ac:dyDescent="0.65">
      <c r="A9" s="11" t="s">
        <v>26</v>
      </c>
      <c r="B9" s="3" t="s">
        <v>41</v>
      </c>
      <c r="C9" s="1" t="s">
        <v>50</v>
      </c>
      <c r="D9" s="14" t="s">
        <v>11</v>
      </c>
      <c r="E9" s="16">
        <v>7.1371820000000001</v>
      </c>
      <c r="F9" s="16">
        <v>100.63176</v>
      </c>
      <c r="G9" s="5">
        <f t="shared" ca="1" si="1"/>
        <v>46047.169638381136</v>
      </c>
      <c r="H9" s="18">
        <v>27.5</v>
      </c>
      <c r="I9" s="18">
        <v>8.4304000000000006</v>
      </c>
      <c r="J9" s="3">
        <v>99.963099999999997</v>
      </c>
      <c r="K9" s="3">
        <f t="shared" si="0"/>
        <v>161.56963691803955</v>
      </c>
      <c r="L9" s="4">
        <f t="shared" si="2"/>
        <v>5.8752595242923471</v>
      </c>
      <c r="M9" s="6">
        <f t="shared" ca="1" si="3"/>
        <v>46049.052394031103</v>
      </c>
    </row>
    <row r="10" spans="1:13" ht="24" x14ac:dyDescent="0.65">
      <c r="A10" s="10" t="s">
        <v>27</v>
      </c>
      <c r="B10" s="3" t="s">
        <v>42</v>
      </c>
      <c r="C10" s="1" t="s">
        <v>51</v>
      </c>
      <c r="D10" s="13" t="s">
        <v>11</v>
      </c>
      <c r="E10" s="16">
        <v>17.462606999999998</v>
      </c>
      <c r="F10" s="16">
        <v>102.771186</v>
      </c>
      <c r="G10" s="5">
        <f t="shared" ca="1" si="1"/>
        <v>46047.844417007611</v>
      </c>
      <c r="H10" s="18">
        <v>67</v>
      </c>
      <c r="I10" s="18">
        <v>13.7563</v>
      </c>
      <c r="J10" s="3">
        <v>100.5018</v>
      </c>
      <c r="K10" s="3">
        <f t="shared" si="0"/>
        <v>478.42045149914907</v>
      </c>
      <c r="L10" s="4">
        <f t="shared" si="2"/>
        <v>7.1406037537186426</v>
      </c>
      <c r="M10" s="6">
        <f t="shared" ca="1" si="3"/>
        <v>46049.105116707331</v>
      </c>
    </row>
    <row r="11" spans="1:13" ht="24" x14ac:dyDescent="0.65">
      <c r="A11" s="11" t="s">
        <v>28</v>
      </c>
      <c r="B11" s="3" t="s">
        <v>43</v>
      </c>
      <c r="C11" s="1" t="s">
        <v>52</v>
      </c>
      <c r="D11" s="14" t="s">
        <v>96</v>
      </c>
      <c r="E11" s="16">
        <v>16.508227999999999</v>
      </c>
      <c r="F11" s="16">
        <v>102.828416</v>
      </c>
      <c r="G11" s="5">
        <f t="shared" ca="1" si="1"/>
        <v>46047.490530274947</v>
      </c>
      <c r="H11" s="18">
        <v>58.4</v>
      </c>
      <c r="I11" s="18">
        <v>13.5283</v>
      </c>
      <c r="J11" s="3">
        <v>99.813400000000001</v>
      </c>
      <c r="K11" s="3">
        <f t="shared" si="0"/>
        <v>463.26334837098977</v>
      </c>
      <c r="L11" s="4">
        <f t="shared" si="2"/>
        <v>7.9325915816950303</v>
      </c>
      <c r="M11" s="6">
        <f t="shared" ca="1" si="3"/>
        <v>46049.138116200163</v>
      </c>
    </row>
    <row r="12" spans="1:13" ht="24" x14ac:dyDescent="0.65">
      <c r="A12" s="10" t="s">
        <v>29</v>
      </c>
      <c r="B12" s="3" t="s">
        <v>44</v>
      </c>
      <c r="C12" s="1" t="s">
        <v>53</v>
      </c>
      <c r="D12" s="13" t="s">
        <v>11</v>
      </c>
      <c r="E12" s="16">
        <v>18.867871999999998</v>
      </c>
      <c r="F12" s="16">
        <v>98.927432999999994</v>
      </c>
      <c r="G12" s="5">
        <f t="shared" ca="1" si="1"/>
        <v>46047.863205769754</v>
      </c>
      <c r="H12" s="18">
        <v>66</v>
      </c>
      <c r="I12" s="18">
        <v>13.3611</v>
      </c>
      <c r="J12" s="3">
        <v>100.9847</v>
      </c>
      <c r="K12" s="3">
        <f t="shared" si="0"/>
        <v>650.53346214414421</v>
      </c>
      <c r="L12" s="4">
        <f t="shared" si="2"/>
        <v>9.8565676082446085</v>
      </c>
      <c r="M12" s="6">
        <f t="shared" ca="1" si="3"/>
        <v>46049.218281867936</v>
      </c>
    </row>
    <row r="13" spans="1:13" ht="24" x14ac:dyDescent="0.65">
      <c r="A13" s="11" t="s">
        <v>30</v>
      </c>
      <c r="B13" s="3" t="s">
        <v>45</v>
      </c>
      <c r="C13" s="1" t="s">
        <v>54</v>
      </c>
      <c r="D13" s="14" t="s">
        <v>96</v>
      </c>
      <c r="E13" s="16">
        <v>7.1713630000000004</v>
      </c>
      <c r="F13" s="16">
        <v>100.61044200000001</v>
      </c>
      <c r="G13" s="5">
        <f t="shared" ca="1" si="1"/>
        <v>46047.517141329779</v>
      </c>
      <c r="H13" s="18">
        <v>73.099999999999994</v>
      </c>
      <c r="I13" s="18">
        <v>13.8621</v>
      </c>
      <c r="J13" s="3">
        <v>100.51439999999999</v>
      </c>
      <c r="K13" s="3">
        <f t="shared" si="0"/>
        <v>744.05000824787851</v>
      </c>
      <c r="L13" s="4">
        <f t="shared" si="2"/>
        <v>10.178522684649501</v>
      </c>
      <c r="M13" s="6">
        <f t="shared" ca="1" si="3"/>
        <v>46049.231696662784</v>
      </c>
    </row>
    <row r="14" spans="1:13" ht="24" x14ac:dyDescent="0.65">
      <c r="A14" s="10" t="s">
        <v>31</v>
      </c>
      <c r="B14" s="3" t="s">
        <v>46</v>
      </c>
      <c r="C14" s="1" t="s">
        <v>55</v>
      </c>
      <c r="D14" s="13" t="s">
        <v>11</v>
      </c>
      <c r="E14" s="16">
        <v>9.1672740000000008</v>
      </c>
      <c r="F14" s="16">
        <v>99.327614999999994</v>
      </c>
      <c r="G14" s="5">
        <f t="shared" ca="1" si="1"/>
        <v>46047.991147608751</v>
      </c>
      <c r="H14" s="18">
        <v>32.1</v>
      </c>
      <c r="I14" s="18">
        <v>13.8621</v>
      </c>
      <c r="J14" s="3">
        <v>100.51439999999999</v>
      </c>
      <c r="K14" s="3">
        <f t="shared" si="0"/>
        <v>537.80737486900853</v>
      </c>
      <c r="L14" s="4">
        <f t="shared" si="2"/>
        <v>16.754123827694968</v>
      </c>
      <c r="M14" s="6">
        <f t="shared" ca="1" si="3"/>
        <v>46049.505680043745</v>
      </c>
    </row>
    <row r="15" spans="1:13" ht="24" x14ac:dyDescent="0.65">
      <c r="A15" s="11" t="s">
        <v>32</v>
      </c>
      <c r="B15" s="3" t="s">
        <v>47</v>
      </c>
      <c r="C15" s="1" t="s">
        <v>56</v>
      </c>
      <c r="D15" s="14" t="s">
        <v>11</v>
      </c>
      <c r="E15" s="16">
        <v>13.816435999999999</v>
      </c>
      <c r="F15" s="16">
        <v>100.463942</v>
      </c>
      <c r="G15" s="5">
        <f t="shared" ca="1" si="1"/>
        <v>46047.524747741096</v>
      </c>
      <c r="H15" s="18">
        <v>43</v>
      </c>
      <c r="I15" s="18">
        <v>9.1381999999999994</v>
      </c>
      <c r="J15" s="3">
        <v>99.321700000000007</v>
      </c>
      <c r="K15" s="3">
        <f t="shared" si="0"/>
        <v>534.87148996101837</v>
      </c>
      <c r="L15" s="4">
        <f t="shared" si="2"/>
        <v>12.438871859558567</v>
      </c>
      <c r="M15" s="6">
        <f t="shared" ca="1" si="3"/>
        <v>46049.325877878407</v>
      </c>
    </row>
    <row r="16" spans="1:13" ht="24" x14ac:dyDescent="0.65">
      <c r="A16" s="12" t="s">
        <v>33</v>
      </c>
      <c r="B16" s="3" t="s">
        <v>48</v>
      </c>
      <c r="C16" s="1" t="s">
        <v>57</v>
      </c>
      <c r="D16" s="15" t="s">
        <v>96</v>
      </c>
      <c r="E16" s="16">
        <v>17.415026000000001</v>
      </c>
      <c r="F16" s="16">
        <v>102.738826</v>
      </c>
      <c r="G16" s="5">
        <f t="shared" ca="1" si="1"/>
        <v>46046.950691109538</v>
      </c>
      <c r="H16" s="18">
        <v>45.1</v>
      </c>
      <c r="I16" s="18">
        <v>8.4304000000000006</v>
      </c>
      <c r="J16" s="3">
        <v>99.963099999999997</v>
      </c>
      <c r="K16" s="3">
        <f t="shared" si="0"/>
        <v>1043.2512426530677</v>
      </c>
      <c r="L16" s="4">
        <f t="shared" si="2"/>
        <v>23.131956599846291</v>
      </c>
      <c r="M16" s="6">
        <f t="shared" ca="1" si="3"/>
        <v>46049.771423075916</v>
      </c>
    </row>
    <row r="17" spans="1:13" ht="24" x14ac:dyDescent="0.65">
      <c r="A17" s="11" t="s">
        <v>33</v>
      </c>
      <c r="B17" s="3" t="s">
        <v>49</v>
      </c>
      <c r="C17" s="1" t="s">
        <v>58</v>
      </c>
      <c r="D17" s="14" t="s">
        <v>96</v>
      </c>
      <c r="E17" s="17">
        <v>14.155319823774294</v>
      </c>
      <c r="F17" s="17">
        <v>102.92841162284722</v>
      </c>
      <c r="G17" s="5">
        <f t="shared" ca="1" si="1"/>
        <v>46048.619638074495</v>
      </c>
      <c r="H17" s="3">
        <v>76</v>
      </c>
      <c r="I17" s="3">
        <v>15.13</v>
      </c>
      <c r="J17" s="3">
        <v>101.54</v>
      </c>
      <c r="K17" s="3">
        <f t="shared" si="0"/>
        <v>184.5449187113351</v>
      </c>
      <c r="L17" s="4">
        <f t="shared" si="2"/>
        <v>2.4282226146228303</v>
      </c>
      <c r="M17" s="6">
        <f t="shared" ca="1" si="3"/>
        <v>46048.908767493202</v>
      </c>
    </row>
    <row r="18" spans="1:13" ht="24" x14ac:dyDescent="0.65">
      <c r="A18" s="12" t="s">
        <v>71</v>
      </c>
      <c r="B18" s="3" t="s">
        <v>73</v>
      </c>
      <c r="C18" s="1" t="s">
        <v>74</v>
      </c>
      <c r="D18" s="14" t="s">
        <v>11</v>
      </c>
      <c r="E18" s="20">
        <v>13.7563</v>
      </c>
      <c r="F18" s="16">
        <v>100.5018</v>
      </c>
      <c r="G18" s="5">
        <f t="shared" ca="1" si="1"/>
        <v>46048.238631262764</v>
      </c>
      <c r="H18" s="18">
        <v>46.5</v>
      </c>
      <c r="I18" s="21">
        <v>18.787199999999999</v>
      </c>
      <c r="J18" s="21">
        <v>98.993600000000001</v>
      </c>
      <c r="K18" s="3">
        <f t="shared" si="0"/>
        <v>582.09605051920028</v>
      </c>
      <c r="L18" s="4">
        <f t="shared" si="2"/>
        <v>12.518194634821512</v>
      </c>
      <c r="M18" s="6">
        <f ca="1">NOW() + (L18/24)</f>
        <v>46049.329182994043</v>
      </c>
    </row>
    <row r="19" spans="1:13" ht="24" x14ac:dyDescent="0.65">
      <c r="A19" s="11" t="s">
        <v>72</v>
      </c>
      <c r="B19" s="3" t="s">
        <v>75</v>
      </c>
      <c r="C19" s="1" t="s">
        <v>76</v>
      </c>
      <c r="D19" s="14" t="s">
        <v>11</v>
      </c>
      <c r="E19" s="17">
        <v>13.3611</v>
      </c>
      <c r="F19" s="16">
        <v>100.9847</v>
      </c>
      <c r="G19" s="5">
        <f t="shared" ca="1" si="1"/>
        <v>46047.407887747831</v>
      </c>
      <c r="H19" s="18">
        <v>74</v>
      </c>
      <c r="I19" s="21">
        <v>13.8621</v>
      </c>
      <c r="J19" s="21">
        <v>100.51439999999999</v>
      </c>
      <c r="K19" s="3">
        <f t="shared" si="0"/>
        <v>75.410446823673666</v>
      </c>
      <c r="L19" s="4">
        <f t="shared" si="2"/>
        <v>1.0190600922118063</v>
      </c>
      <c r="M19" s="6">
        <f t="shared" ca="1" si="3"/>
        <v>46048.850052388101</v>
      </c>
    </row>
    <row r="20" spans="1:13" ht="24" x14ac:dyDescent="0.65">
      <c r="A20" s="11" t="s">
        <v>25</v>
      </c>
      <c r="B20" s="3" t="s">
        <v>40</v>
      </c>
      <c r="C20" s="1" t="s">
        <v>65</v>
      </c>
      <c r="D20" s="14" t="s">
        <v>96</v>
      </c>
      <c r="E20" s="17">
        <v>16.434446000000001</v>
      </c>
      <c r="F20" s="16">
        <v>102.888458</v>
      </c>
      <c r="G20" s="5">
        <v>46048.422222222223</v>
      </c>
      <c r="H20" s="18">
        <v>23.6</v>
      </c>
      <c r="I20" s="18">
        <v>12.683299999999999</v>
      </c>
      <c r="J20" s="18">
        <v>101.27889999999999</v>
      </c>
      <c r="K20" s="18">
        <v>451.63510839999998</v>
      </c>
      <c r="L20" s="18">
        <v>19.100000000000001</v>
      </c>
      <c r="M20" s="18">
        <v>0.46875</v>
      </c>
    </row>
    <row r="21" spans="1:13" s="2" customFormat="1" ht="24" x14ac:dyDescent="0.25"/>
    <row r="22" spans="1:13" ht="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</sheetData>
  <phoneticPr fontId="7" type="noConversion"/>
  <conditionalFormatting sqref="D2:D17">
    <cfRule type="expression" priority="37">
      <formula>$E2="แดง"</formula>
    </cfRule>
  </conditionalFormatting>
  <conditionalFormatting sqref="D2">
    <cfRule type="expression" priority="36">
      <formula>$E2="แดง"</formula>
    </cfRule>
  </conditionalFormatting>
  <conditionalFormatting sqref="D2:D17">
    <cfRule type="containsText" dxfId="32" priority="34" operator="containsText" text="ถึงแล้ว">
      <formula>NOT(ISERROR(SEARCH("ถึงแล้ว",D2)))</formula>
    </cfRule>
    <cfRule type="containsText" dxfId="31" priority="35" operator="containsText" text="กำลังขนส่ง">
      <formula>NOT(ISERROR(SEARCH("กำลังขนส่ง",D2)))</formula>
    </cfRule>
  </conditionalFormatting>
  <conditionalFormatting sqref="D17">
    <cfRule type="expression" priority="33">
      <formula>$E17="แดง"</formula>
    </cfRule>
  </conditionalFormatting>
  <conditionalFormatting sqref="D17">
    <cfRule type="containsText" dxfId="30" priority="31" operator="containsText" text="ถึงแล้ว">
      <formula>NOT(ISERROR(SEARCH("ถึงแล้ว",D17)))</formula>
    </cfRule>
    <cfRule type="containsText" dxfId="29" priority="32" operator="containsText" text="กำลังขนส่ง">
      <formula>NOT(ISERROR(SEARCH("กำลังขนส่ง",D17)))</formula>
    </cfRule>
  </conditionalFormatting>
  <conditionalFormatting sqref="D18">
    <cfRule type="expression" priority="18">
      <formula>$E18="แดง"</formula>
    </cfRule>
  </conditionalFormatting>
  <conditionalFormatting sqref="D18">
    <cfRule type="containsText" dxfId="28" priority="16" operator="containsText" text="ถึงแล้ว">
      <formula>NOT(ISERROR(SEARCH("ถึงแล้ว",D18)))</formula>
    </cfRule>
    <cfRule type="containsText" dxfId="27" priority="17" operator="containsText" text="กำลังขนส่ง">
      <formula>NOT(ISERROR(SEARCH("กำลังขนส่ง",D18)))</formula>
    </cfRule>
  </conditionalFormatting>
  <conditionalFormatting sqref="D19">
    <cfRule type="expression" priority="15">
      <formula>$E19="แดง"</formula>
    </cfRule>
  </conditionalFormatting>
  <conditionalFormatting sqref="D19">
    <cfRule type="containsText" dxfId="26" priority="13" operator="containsText" text="ถึงแล้ว">
      <formula>NOT(ISERROR(SEARCH("ถึงแล้ว",D19)))</formula>
    </cfRule>
    <cfRule type="containsText" dxfId="25" priority="14" operator="containsText" text="กำลังขนส่ง">
      <formula>NOT(ISERROR(SEARCH("กำลังขนส่ง",D19)))</formula>
    </cfRule>
  </conditionalFormatting>
  <conditionalFormatting sqref="D20">
    <cfRule type="expression" priority="12">
      <formula>$E20="แดง"</formula>
    </cfRule>
  </conditionalFormatting>
  <conditionalFormatting sqref="D20">
    <cfRule type="containsText" dxfId="24" priority="10" operator="containsText" text="ถึงแล้ว">
      <formula>NOT(ISERROR(SEARCH("ถึงแล้ว",D20)))</formula>
    </cfRule>
    <cfRule type="containsText" dxfId="23" priority="11" operator="containsText" text="กำลังขนส่ง">
      <formula>NOT(ISERROR(SEARCH("กำลังขนส่ง",D20)))</formula>
    </cfRule>
  </conditionalFormatting>
  <conditionalFormatting sqref="D2:D20">
    <cfRule type="containsText" dxfId="22" priority="3" operator="containsText" text="ถึงแล้ว ">
      <formula>NOT(ISERROR(SEARCH("ถึงแล้ว ",D2)))</formula>
    </cfRule>
  </conditionalFormatting>
  <conditionalFormatting sqref="D1:D1048576">
    <cfRule type="containsText" dxfId="20" priority="2" operator="containsText" text="ถึงแล้ว">
      <formula>NOT(ISERROR(SEARCH("ถึงแล้ว",D1)))</formula>
    </cfRule>
    <cfRule type="containsText" dxfId="21" priority="1" operator="containsText" text="กำลังขนส่ง">
      <formula>NOT(ISERROR(SEARCH("กำลังขนส่ง",D1)))</formula>
    </cfRule>
  </conditionalFormatting>
  <dataValidations count="1">
    <dataValidation type="list" allowBlank="1" showInputMessage="1" showErrorMessage="1" sqref="D2:D20" xr:uid="{A091DDC9-D5E0-4298-96D4-FF95CDD50CDB}">
      <formula1>"ถึงแล้ว , กำลังขนส่ง"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0446-F43D-4401-82BA-F737B824C200}">
  <sheetPr codeName="Sheet8"/>
  <dimension ref="B4:J9"/>
  <sheetViews>
    <sheetView zoomScale="71" workbookViewId="0">
      <selection activeCell="B4" sqref="B4:C4"/>
    </sheetView>
  </sheetViews>
  <sheetFormatPr defaultRowHeight="15" x14ac:dyDescent="0.25"/>
  <cols>
    <col min="2" max="2" width="17.26953125" customWidth="1"/>
    <col min="3" max="3" width="17.36328125" customWidth="1"/>
    <col min="6" max="6" width="16.1796875" customWidth="1"/>
    <col min="8" max="8" width="11.6328125" customWidth="1"/>
    <col min="9" max="9" width="10.08984375" customWidth="1"/>
    <col min="10" max="10" width="13.7265625" customWidth="1"/>
  </cols>
  <sheetData>
    <row r="4" spans="2:10" ht="24" x14ac:dyDescent="0.25">
      <c r="B4" s="29" t="s">
        <v>97</v>
      </c>
      <c r="C4" s="30"/>
      <c r="F4" s="36" t="s">
        <v>0</v>
      </c>
      <c r="G4" s="36" t="s">
        <v>1</v>
      </c>
      <c r="H4" s="36" t="s">
        <v>2</v>
      </c>
      <c r="I4" s="36" t="s">
        <v>18</v>
      </c>
      <c r="J4" s="36" t="s">
        <v>12</v>
      </c>
    </row>
    <row r="5" spans="2:10" ht="24" x14ac:dyDescent="0.25">
      <c r="B5" s="24" t="s">
        <v>68</v>
      </c>
      <c r="C5" s="24" t="s">
        <v>69</v>
      </c>
      <c r="F5" s="31" t="e" cm="1" vm="1">
        <f t="array" aca="1" ref="F5" ca="1">_xlfn.CHOOSECOLS(_xlfn.TAKE(_xlfn._xlws.SORT(_xlfn._xlws.FILTER(updateweb!E4:Q50, updateweb!E4:E50&lt;&gt;""), 7, -1), 5), 1, 3, 4, 7, 13)</f>
        <v>#NAME?</v>
      </c>
      <c r="G5" s="3"/>
      <c r="H5" s="3"/>
      <c r="I5" s="3"/>
      <c r="J5" s="32"/>
    </row>
    <row r="6" spans="2:10" ht="24" x14ac:dyDescent="0.25">
      <c r="B6" s="25" t="s">
        <v>70</v>
      </c>
      <c r="C6" s="26">
        <f>COUNTA(updateweb!D1:D40)-1</f>
        <v>19</v>
      </c>
      <c r="F6" s="31"/>
      <c r="G6" s="3"/>
      <c r="H6" s="3"/>
      <c r="I6" s="3"/>
      <c r="J6" s="32"/>
    </row>
    <row r="7" spans="2:10" ht="24" x14ac:dyDescent="0.25">
      <c r="B7" s="27" t="s">
        <v>11</v>
      </c>
      <c r="C7" s="28">
        <f>COUNTIF(updateweb!D2:D40, "กำลังขนส่ง")</f>
        <v>11</v>
      </c>
      <c r="F7" s="31"/>
      <c r="G7" s="3"/>
      <c r="H7" s="3"/>
      <c r="I7" s="3"/>
      <c r="J7" s="32"/>
    </row>
    <row r="8" spans="2:10" ht="24" x14ac:dyDescent="0.25">
      <c r="B8" s="25" t="s">
        <v>10</v>
      </c>
      <c r="C8" s="26">
        <f>COUNTIF(updateweb!D2:D40, "ถึงแล้ว")</f>
        <v>0</v>
      </c>
      <c r="F8" s="31"/>
      <c r="G8" s="3"/>
      <c r="H8" s="3"/>
      <c r="I8" s="3"/>
      <c r="J8" s="32"/>
    </row>
    <row r="9" spans="2:10" ht="24" x14ac:dyDescent="0.25">
      <c r="F9" s="33"/>
      <c r="G9" s="34"/>
      <c r="H9" s="34"/>
      <c r="I9" s="34"/>
      <c r="J9" s="35"/>
    </row>
  </sheetData>
  <mergeCells count="1">
    <mergeCell ref="B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9F8C-8BF2-F443-AA7A-AEBA106D11BA}">
  <sheetPr codeName="Sheet6"/>
  <dimension ref="A2:C2"/>
  <sheetViews>
    <sheetView zoomScale="35" zoomScaleNormal="53" workbookViewId="0">
      <selection activeCell="K4" sqref="K4"/>
    </sheetView>
  </sheetViews>
  <sheetFormatPr defaultColWidth="10.90625" defaultRowHeight="15" x14ac:dyDescent="0.25"/>
  <sheetData>
    <row r="2" spans="1:3" s="23" customFormat="1" ht="33" x14ac:dyDescent="0.25">
      <c r="A2" s="22" t="s">
        <v>14</v>
      </c>
      <c r="B2" s="22"/>
      <c r="C2" s="22"/>
    </row>
  </sheetData>
  <mergeCells count="1">
    <mergeCell ref="A2:C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0AAC32-F725-3C46-9B8D-DC5F40FE1F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updateweb (2)</vt:lpstr>
      <vt:lpstr>KPI </vt:lpstr>
      <vt:lpstr>Top 5 </vt:lpstr>
      <vt:lpstr>updateweb</vt:lpstr>
      <vt:lpstr>สถานะการส่ง1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Wunna</dc:creator>
  <cp:lastModifiedBy>พุฒิพร บุญมา</cp:lastModifiedBy>
  <dcterms:created xsi:type="dcterms:W3CDTF">2026-01-25T14:11:04Z</dcterms:created>
  <dcterms:modified xsi:type="dcterms:W3CDTF">2026-01-26T12:25:51Z</dcterms:modified>
</cp:coreProperties>
</file>