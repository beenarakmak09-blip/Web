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Logistic\"/>
    </mc:Choice>
  </mc:AlternateContent>
  <xr:revisionPtr revIDLastSave="0" documentId="8_{329ACE52-CA54-4B3A-9709-2A63E51AD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ข้อมูลพัสดุ" sheetId="1" r:id="rId1"/>
    <sheet name="แผนที่" sheetId="5" r:id="rId2"/>
    <sheet name="Dashboard" sheetId="2" r:id="rId3"/>
    <sheet name="Top5_ล่าสุด" sheetId="3" r:id="rId4"/>
    <sheet name="รายงานสั้น" sheetId="4" r:id="rId5"/>
  </sheets>
  <definedNames>
    <definedName name="_xlcn.WorksheetConnection_Table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1" i="1" l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E20D78-07B7-4F9E-8BDB-B9C32968F354}" keepAlive="1" name="Query - tracking_update" description="Connection to the 'tracking_update' query in the workbook." type="5" refreshedVersion="7" background="1" saveData="1">
    <dbPr connection="Provider=Microsoft.Mashup.OleDb.1;Data Source=$Workbook$;Location=tracking_update;Extended Properties=&quot;&quot;" command="SELECT * FROM [tracking_update]"/>
  </connection>
  <connection id="2" xr16:uid="{3CC7FA17-D0AC-4C3B-B532-2FCE8792368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0F257B6-EF71-4514-A7A6-1DC678E8E691}" name="WorksheetConnection_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Table1"/>
        </x15:connection>
      </ext>
    </extLst>
  </connection>
</connections>
</file>

<file path=xl/sharedStrings.xml><?xml version="1.0" encoding="utf-8"?>
<sst xmlns="http://schemas.openxmlformats.org/spreadsheetml/2006/main" count="140" uniqueCount="94">
  <si>
    <t>Tracking Number</t>
  </si>
  <si>
    <t>ชื่อผู้ส่ง</t>
  </si>
  <si>
    <t>ชื่อผู้รับ</t>
  </si>
  <si>
    <t>สถานะปัจจุบัน</t>
  </si>
  <si>
    <t>Latitude</t>
  </si>
  <si>
    <t>Longitude</t>
  </si>
  <si>
    <t>Lat_dest</t>
  </si>
  <si>
    <t>Lon_dest</t>
  </si>
  <si>
    <t>Timestamp ล่าสุด</t>
  </si>
  <si>
    <t>ความเร็ว (km/h)</t>
  </si>
  <si>
    <t>ระยะทางเหลือ (km)</t>
  </si>
  <si>
    <t>TH9963334018</t>
  </si>
  <si>
    <t>Sender_01 (นครศรีธรรมราช)</t>
  </si>
  <si>
    <t>Receiver_01 (นนทบุรี)</t>
  </si>
  <si>
    <t>กำลังขนส่ง</t>
  </si>
  <si>
    <t>2026-01-25 14:26:00</t>
  </si>
  <si>
    <t>TH2801823908</t>
  </si>
  <si>
    <t>Sender_02 (ขอนแก่น)</t>
  </si>
  <si>
    <t>Receiver_02 (กรุงเทพฯ)</t>
  </si>
  <si>
    <t>2026-01-25 14:06:00</t>
  </si>
  <si>
    <t>TH6756332150</t>
  </si>
  <si>
    <t>Sender_03 (นครราชสีมา)</t>
  </si>
  <si>
    <t>Receiver_03 (สงขลา)</t>
  </si>
  <si>
    <t>ถึงแล้ว</t>
  </si>
  <si>
    <t>2026-01-25 14:40:00</t>
  </si>
  <si>
    <t>TH9776552803</t>
  </si>
  <si>
    <t>Sender_04 (ปทุมธานี)</t>
  </si>
  <si>
    <t>Receiver_04 (ชลบุรี)</t>
  </si>
  <si>
    <t>2026-01-25 14:24:00</t>
  </si>
  <si>
    <t>TH8995970241</t>
  </si>
  <si>
    <t>Sender_05 (นครราชสีมา)</t>
  </si>
  <si>
    <t>Receiver_05 (ภูเก็ต)</t>
  </si>
  <si>
    <t>2026-01-25 15:15:00</t>
  </si>
  <si>
    <t>TH4721519026</t>
  </si>
  <si>
    <t>Sender_06 (สงขลา)</t>
  </si>
  <si>
    <t>Receiver_06 (ชลบุรี)</t>
  </si>
  <si>
    <t>2026-01-25 15:14:00</t>
  </si>
  <si>
    <t>TH3783290795</t>
  </si>
  <si>
    <t>Sender_07 (ขอนแก่น)</t>
  </si>
  <si>
    <t>Receiver_07 (ระยอง)</t>
  </si>
  <si>
    <t>2026-01-25 15:30:00</t>
  </si>
  <si>
    <t>TH1240251661</t>
  </si>
  <si>
    <t>Sender_08 (สงขลา)</t>
  </si>
  <si>
    <t>Receiver_08 (นครศรีธรรมราช)</t>
  </si>
  <si>
    <t>2026-01-25 15:37:00</t>
  </si>
  <si>
    <t>TH8110054933</t>
  </si>
  <si>
    <t>Sender_09 (อุดรธานี)</t>
  </si>
  <si>
    <t>Receiver_09 (กรุงเทพฯ)</t>
  </si>
  <si>
    <t>2026-01-25 16:25:00</t>
  </si>
  <si>
    <t>TH7801222128</t>
  </si>
  <si>
    <t>Sender_10 (ขอนแก่น)</t>
  </si>
  <si>
    <t>Receiver_10 (ราชบุรี)</t>
  </si>
  <si>
    <t>2026-01-25 15:03:00</t>
  </si>
  <si>
    <t>TH8217611860</t>
  </si>
  <si>
    <t>Sender_11 (เชียงใหม่)</t>
  </si>
  <si>
    <t>Receiver_11 (ชลบุรี)</t>
  </si>
  <si>
    <t>2026-01-25 14:12:00</t>
  </si>
  <si>
    <t>TH9639245200</t>
  </si>
  <si>
    <t>Sender_12 (สงขลา)</t>
  </si>
  <si>
    <t>Receiver_12 (นนทบุรี)</t>
  </si>
  <si>
    <t>2026-01-25 15:04:00</t>
  </si>
  <si>
    <t>TH5974249674</t>
  </si>
  <si>
    <t>Sender_13 (สุราษฎร์ธานี)</t>
  </si>
  <si>
    <t>Receiver_13 (นนทบุรี)</t>
  </si>
  <si>
    <t>2026-01-25 16:44:00</t>
  </si>
  <si>
    <t>TH7980611182</t>
  </si>
  <si>
    <t>Sender_14 (กรุงเทพฯ)</t>
  </si>
  <si>
    <t>Receiver_14 (สุราษฎร์ธานี)</t>
  </si>
  <si>
    <t>2026-01-25 14:45:00</t>
  </si>
  <si>
    <t>TH9592390865</t>
  </si>
  <si>
    <t>Sender_15 (อุดรธานี)</t>
  </si>
  <si>
    <t>Receiver_15 (นครศรีธรรมราช)</t>
  </si>
  <si>
    <t>2026-01-25 14:41:00</t>
  </si>
  <si>
    <t>ตัวชี้วัด</t>
  </si>
  <si>
    <t>จำนวน</t>
  </si>
  <si>
    <t>ทั้งหมด</t>
  </si>
  <si>
    <t>รอรับเข้าระบบ</t>
  </si>
  <si>
    <t>ตีกลับ/มีปัญหา</t>
  </si>
  <si>
    <t>รายงาน</t>
  </si>
  <si>
    <t>รายงานสั้น: NLP สำหรับการสื่อสารในซัพพลายเชน + ติดตามพัสดุใน Excel</t>
  </si>
  <si>
    <t>สิ่งที่ทำ:</t>
  </si>
  <si>
    <t>- สร้างตารางข้อมูลพัสดุ (Tracking, ผู้ส่ง/ผู้รับ, สถานะ, Lat/Lon, เวลาอัปเดต, ความเร็ว, ระยะทางเหลือ)</t>
  </si>
  <si>
    <t>- เตรียมข้อมูลสำหรับ Map Chart/3D Maps เพื่อแสดงตำแหน่งพัสดุหลายชิ้น</t>
  </si>
  <si>
    <t>- สรุปผลบน Dashboard (จำนวนตามสถานะ + Top 5 อัปเดตล่าสุด)</t>
  </si>
  <si>
    <t>- เตรียมแนวทางเชื่อมโยงข้อมูล/แผนที่จาก Excel ไปแสดงบนเว็บไซต์ด้วยการ Embed</t>
  </si>
  <si>
    <t>ข้อจำกัดสำคัญของ Excel กับระบบ real-time:</t>
  </si>
  <si>
    <t>- ไม่ใช่ระบบสตรีมข้อมูลจริง (ต้อง Refresh/อัปเดตแบบเป็นช่วง) และรองรับผู้ใช้พร้อมกันได้จำกัด</t>
  </si>
  <si>
    <t>ถ้าทำระบบจริงควรใช้เครื่องมืออะไรแทน (ตัวอย่าง):</t>
  </si>
  <si>
    <t>- Backend + Database (เช่น Node.js + PostgreSQL) เพื่อเก็บสถานะและตำแหน่งแบบต่อเนื่อง</t>
  </si>
  <si>
    <t>- Map บนเว็บ (เช่น Leaflet/Google Maps) เพื่อแสดงผล interactive และรองรับหลายผู้ใช้</t>
  </si>
  <si>
    <t>- ETL/Streaming (เช่น Kafka หรือบริการ Cloud) สำหรับข้อมูลที่เข้ามาตลอดเวลา</t>
  </si>
  <si>
    <t>สรุปการนำไปใช้บนเว็บ:</t>
  </si>
  <si>
    <t>- อัปโหลดไฟล์ไป OneDrive/Google Sheets แล้วฝัง iframe ในหน้าเว็บเพื่อดูตาราง/แผนที่/แดชบอร์ด</t>
  </si>
  <si>
    <t>ระยะทางเหลือ (km)2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</si>
</sst>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;;;"/>
  </numFmts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187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24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</xdr:col>
      <xdr:colOff>817901</xdr:colOff>
      <xdr:row>4</xdr:row>
      <xdr:rowOff>108967</xdr:rowOff>
    </xdr:to>
    <xdr:sp macro="" textlink="">
      <xdr:nvSpPr>
        <xdr:cNvPr id="3" name="B43B9E99-EEEB-43E0-84A8-B82E90D6F7D8">
          <a:extLst>
            <a:ext uri="{FF2B5EF4-FFF2-40B4-BE49-F238E27FC236}">
              <a16:creationId xmlns:a16="http://schemas.microsoft.com/office/drawing/2014/main" id="{D71014A2-F5FE-470F-B311-B81196B13EBB}"/>
            </a:ext>
          </a:extLst>
        </xdr:cNvPr>
        <xdr:cNvSpPr txBox="1"/>
      </xdr:nvSpPr>
      <xdr:spPr>
        <a:xfrm>
          <a:off x="127000" y="127000"/>
          <a:ext cx="2641621" cy="683007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3D Maps Tours
</a:t>
          </a:r>
          <a:r>
            <a:rPr lang="en-US" sz="1100"/>
            <a:t>This workbook has 3D Maps tours available.
Open 3D Maps to edit or play the tours.</a:t>
          </a:r>
          <a:endParaRPr lang="th-TH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D9AC6-7DB6-4B8E-BA45-0F6FA4E4D52D}" name="Table1" displayName="Table1" ref="A1:L17" totalsRowShown="0" headerRowDxfId="15" headerRowBorderDxfId="14" tableBorderDxfId="13" totalsRowBorderDxfId="12">
  <autoFilter ref="A1:L17" xr:uid="{355D9AC6-7DB6-4B8E-BA45-0F6FA4E4D52D}"/>
  <tableColumns count="12">
    <tableColumn id="1" xr3:uid="{21197EB1-1211-4647-ADB2-71C542DBCA8C}" name="Tracking Number" dataDxfId="11"/>
    <tableColumn id="2" xr3:uid="{9398D3CA-771F-449E-B0F0-6C00E1BFD4A0}" name="ชื่อผู้ส่ง" dataDxfId="10"/>
    <tableColumn id="3" xr3:uid="{9FCD4A57-D385-42E4-BAE1-3AFCE5810F75}" name="ชื่อผู้รับ" dataDxfId="9"/>
    <tableColumn id="4" xr3:uid="{2A58470E-B085-4C28-9089-48C8F20E5404}" name="สถานะปัจจุบัน" dataDxfId="8"/>
    <tableColumn id="5" xr3:uid="{F7C8BD66-FCAD-4384-9B17-B7DACA737447}" name="Latitude" dataDxfId="7"/>
    <tableColumn id="6" xr3:uid="{626840AC-B692-4902-AAB8-B0946277EF20}" name="Longitude" dataDxfId="6"/>
    <tableColumn id="7" xr3:uid="{3D6A3070-D4C6-40DD-ABE7-5615ED1FBB07}" name="Lat_dest" dataDxfId="5"/>
    <tableColumn id="8" xr3:uid="{5FEA4557-07B6-4EB5-BB33-56C71DDFBC5C}" name="Lon_dest" dataDxfId="4"/>
    <tableColumn id="9" xr3:uid="{5A169BD8-231E-4FBA-9F7F-C46B34D6579A}" name="Timestamp ล่าสุด" dataDxfId="3"/>
    <tableColumn id="10" xr3:uid="{84EB4B6B-8AB9-463C-9ED2-0FE067A70EEF}" name="ความเร็ว (km/h)" dataDxfId="2"/>
    <tableColumn id="11" xr3:uid="{B678A0E4-3D55-448C-AEE2-E5B2AC7132A6}" name="ระยะทางเหลือ (km)" dataDxfId="1"/>
    <tableColumn id="12" xr3:uid="{1D51B117-2E38-4482-A58E-8FDDB834348A}" name="ระยะทางเหลือ (km)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zoomScale="55" zoomScaleNormal="70" workbookViewId="0">
      <selection activeCell="D30" sqref="D30"/>
    </sheetView>
  </sheetViews>
  <sheetFormatPr defaultColWidth="25.59765625" defaultRowHeight="13.8" x14ac:dyDescent="0.25"/>
  <cols>
    <col min="5" max="6" width="25.59765625" style="4"/>
  </cols>
  <sheetData>
    <row r="1" spans="1:13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93</v>
      </c>
      <c r="M1" s="3"/>
    </row>
    <row r="2" spans="1:13" x14ac:dyDescent="0.25">
      <c r="A2" s="8" t="s">
        <v>11</v>
      </c>
      <c r="B2" s="6" t="s">
        <v>12</v>
      </c>
      <c r="C2" s="6" t="s">
        <v>13</v>
      </c>
      <c r="D2" s="7" t="s">
        <v>23</v>
      </c>
      <c r="E2" s="6">
        <v>8.3544020000000003</v>
      </c>
      <c r="F2" s="6">
        <v>99.927104999999997</v>
      </c>
      <c r="G2" s="6">
        <v>13.8621</v>
      </c>
      <c r="H2" s="6">
        <v>100.51439999999999</v>
      </c>
      <c r="I2" s="6" t="s">
        <v>15</v>
      </c>
      <c r="J2" s="6">
        <v>54</v>
      </c>
      <c r="K2" s="9">
        <v>758.9</v>
      </c>
      <c r="L2" s="9">
        <v>758.9</v>
      </c>
      <c r="M2" s="3"/>
    </row>
    <row r="3" spans="1:13" x14ac:dyDescent="0.25">
      <c r="A3" s="8" t="s">
        <v>16</v>
      </c>
      <c r="B3" s="6" t="s">
        <v>17</v>
      </c>
      <c r="C3" s="6" t="s">
        <v>18</v>
      </c>
      <c r="D3" s="7" t="s">
        <v>14</v>
      </c>
      <c r="E3" s="6">
        <v>16.366668000000001</v>
      </c>
      <c r="F3" s="6">
        <v>102.78998199999999</v>
      </c>
      <c r="G3" s="6">
        <v>13.7563</v>
      </c>
      <c r="H3" s="6">
        <v>100.5018</v>
      </c>
      <c r="I3" s="6" t="s">
        <v>19</v>
      </c>
      <c r="J3" s="6">
        <v>46.5</v>
      </c>
      <c r="K3" s="9">
        <v>610</v>
      </c>
      <c r="L3" s="9">
        <v>610</v>
      </c>
      <c r="M3" s="3"/>
    </row>
    <row r="4" spans="1:13" x14ac:dyDescent="0.25">
      <c r="A4" s="8" t="s">
        <v>20</v>
      </c>
      <c r="B4" s="6" t="s">
        <v>21</v>
      </c>
      <c r="C4" s="6" t="s">
        <v>22</v>
      </c>
      <c r="D4" s="7" t="s">
        <v>23</v>
      </c>
      <c r="E4" s="6">
        <v>14.944411000000001</v>
      </c>
      <c r="F4" s="6">
        <v>102.15678800000001</v>
      </c>
      <c r="G4" s="6">
        <v>7.1898</v>
      </c>
      <c r="H4" s="6">
        <v>100.5951</v>
      </c>
      <c r="I4" s="6" t="s">
        <v>24</v>
      </c>
      <c r="J4" s="6">
        <v>7</v>
      </c>
      <c r="K4" s="9">
        <v>0</v>
      </c>
      <c r="L4" s="9">
        <v>0</v>
      </c>
      <c r="M4" s="3"/>
    </row>
    <row r="5" spans="1:13" x14ac:dyDescent="0.25">
      <c r="A5" s="8" t="s">
        <v>25</v>
      </c>
      <c r="B5" s="6" t="s">
        <v>26</v>
      </c>
      <c r="C5" s="6" t="s">
        <v>27</v>
      </c>
      <c r="D5" s="7" t="s">
        <v>14</v>
      </c>
      <c r="E5" s="6">
        <v>14.093954</v>
      </c>
      <c r="F5" s="6">
        <v>100.49885500000001</v>
      </c>
      <c r="G5" s="6">
        <v>13.3611</v>
      </c>
      <c r="H5" s="6">
        <v>100.9847</v>
      </c>
      <c r="I5" s="6" t="s">
        <v>28</v>
      </c>
      <c r="J5" s="6">
        <v>33.299999999999997</v>
      </c>
      <c r="K5" s="9">
        <v>295.60000000000002</v>
      </c>
      <c r="L5" s="9">
        <v>295.60000000000002</v>
      </c>
      <c r="M5" s="3"/>
    </row>
    <row r="6" spans="1:13" x14ac:dyDescent="0.25">
      <c r="A6" s="8" t="s">
        <v>29</v>
      </c>
      <c r="B6" s="6" t="s">
        <v>30</v>
      </c>
      <c r="C6" s="6" t="s">
        <v>31</v>
      </c>
      <c r="D6" s="7" t="s">
        <v>14</v>
      </c>
      <c r="E6" s="6">
        <v>14.919872</v>
      </c>
      <c r="F6" s="6">
        <v>102.165267</v>
      </c>
      <c r="G6" s="6">
        <v>7.8803999999999998</v>
      </c>
      <c r="H6" s="6">
        <v>98.392300000000006</v>
      </c>
      <c r="I6" s="6" t="s">
        <v>32</v>
      </c>
      <c r="J6" s="6">
        <v>63.9</v>
      </c>
      <c r="K6" s="9">
        <v>527.6</v>
      </c>
      <c r="L6" s="9">
        <v>527.6</v>
      </c>
      <c r="M6" s="3"/>
    </row>
    <row r="7" spans="1:13" x14ac:dyDescent="0.25">
      <c r="A7" s="8" t="s">
        <v>33</v>
      </c>
      <c r="B7" s="6" t="s">
        <v>34</v>
      </c>
      <c r="C7" s="6" t="s">
        <v>35</v>
      </c>
      <c r="D7" s="7" t="s">
        <v>14</v>
      </c>
      <c r="E7" s="6">
        <v>7.222531</v>
      </c>
      <c r="F7" s="6">
        <v>100.52243199999999</v>
      </c>
      <c r="G7" s="6">
        <v>13.3611</v>
      </c>
      <c r="H7" s="6">
        <v>100.9847</v>
      </c>
      <c r="I7" s="6" t="s">
        <v>36</v>
      </c>
      <c r="J7" s="6">
        <v>74</v>
      </c>
      <c r="K7" s="9">
        <v>727.7</v>
      </c>
      <c r="L7" s="9">
        <v>727.7</v>
      </c>
      <c r="M7" s="3"/>
    </row>
    <row r="8" spans="1:13" x14ac:dyDescent="0.25">
      <c r="A8" s="8" t="s">
        <v>37</v>
      </c>
      <c r="B8" s="6" t="s">
        <v>38</v>
      </c>
      <c r="C8" s="6" t="s">
        <v>39</v>
      </c>
      <c r="D8" s="7" t="s">
        <v>23</v>
      </c>
      <c r="E8" s="6">
        <v>16.434446000000001</v>
      </c>
      <c r="F8" s="6">
        <v>102.888458</v>
      </c>
      <c r="G8" s="6">
        <v>12.683299999999999</v>
      </c>
      <c r="H8" s="6">
        <v>101.27889999999999</v>
      </c>
      <c r="I8" s="6" t="s">
        <v>40</v>
      </c>
      <c r="J8" s="6">
        <v>23.6</v>
      </c>
      <c r="K8" s="9">
        <v>230.6</v>
      </c>
      <c r="L8" s="9">
        <v>230.6</v>
      </c>
      <c r="M8" s="3"/>
    </row>
    <row r="9" spans="1:13" x14ac:dyDescent="0.25">
      <c r="A9" s="8" t="s">
        <v>41</v>
      </c>
      <c r="B9" s="6" t="s">
        <v>42</v>
      </c>
      <c r="C9" s="6" t="s">
        <v>43</v>
      </c>
      <c r="D9" s="7" t="s">
        <v>14</v>
      </c>
      <c r="E9" s="6">
        <v>7.1371820000000001</v>
      </c>
      <c r="F9" s="6">
        <v>100.63176</v>
      </c>
      <c r="G9" s="6">
        <v>8.4304000000000006</v>
      </c>
      <c r="H9" s="6">
        <v>99.963099999999997</v>
      </c>
      <c r="I9" s="6" t="s">
        <v>44</v>
      </c>
      <c r="J9" s="6">
        <v>27.5</v>
      </c>
      <c r="K9" s="9">
        <v>787</v>
      </c>
      <c r="L9" s="9">
        <v>787</v>
      </c>
      <c r="M9" s="3"/>
    </row>
    <row r="10" spans="1:13" x14ac:dyDescent="0.25">
      <c r="A10" s="8" t="s">
        <v>45</v>
      </c>
      <c r="B10" s="6" t="s">
        <v>46</v>
      </c>
      <c r="C10" s="6" t="s">
        <v>47</v>
      </c>
      <c r="D10" s="7" t="s">
        <v>14</v>
      </c>
      <c r="E10" s="6">
        <v>17.462606999999998</v>
      </c>
      <c r="F10" s="6">
        <v>102.771186</v>
      </c>
      <c r="G10" s="6">
        <v>13.7563</v>
      </c>
      <c r="H10" s="6">
        <v>100.5018</v>
      </c>
      <c r="I10" s="6" t="s">
        <v>48</v>
      </c>
      <c r="J10" s="6">
        <v>67</v>
      </c>
      <c r="K10" s="9">
        <v>270.89999999999998</v>
      </c>
      <c r="L10" s="9">
        <v>270.89999999999998</v>
      </c>
      <c r="M10" s="3"/>
    </row>
    <row r="11" spans="1:13" x14ac:dyDescent="0.25">
      <c r="A11" s="8" t="s">
        <v>49</v>
      </c>
      <c r="B11" s="6" t="s">
        <v>50</v>
      </c>
      <c r="C11" s="6" t="s">
        <v>51</v>
      </c>
      <c r="D11" s="7" t="s">
        <v>23</v>
      </c>
      <c r="E11" s="6">
        <v>16.508227999999999</v>
      </c>
      <c r="F11" s="6">
        <v>102.828416</v>
      </c>
      <c r="G11" s="6">
        <v>13.5283</v>
      </c>
      <c r="H11" s="6">
        <v>99.813400000000001</v>
      </c>
      <c r="I11" s="6" t="s">
        <v>52</v>
      </c>
      <c r="J11" s="6">
        <v>58.4</v>
      </c>
      <c r="K11" s="9">
        <v>460.4</v>
      </c>
      <c r="L11" s="9">
        <v>460.4</v>
      </c>
      <c r="M11" s="3"/>
    </row>
    <row r="12" spans="1:13" x14ac:dyDescent="0.25">
      <c r="A12" s="8" t="s">
        <v>53</v>
      </c>
      <c r="B12" s="6" t="s">
        <v>54</v>
      </c>
      <c r="C12" s="6" t="s">
        <v>55</v>
      </c>
      <c r="D12" s="7" t="s">
        <v>14</v>
      </c>
      <c r="E12" s="6">
        <v>18.867871999999998</v>
      </c>
      <c r="F12" s="6">
        <v>98.927432999999994</v>
      </c>
      <c r="G12" s="6">
        <v>13.3611</v>
      </c>
      <c r="H12" s="6">
        <v>100.9847</v>
      </c>
      <c r="I12" s="6" t="s">
        <v>56</v>
      </c>
      <c r="J12" s="6">
        <v>66</v>
      </c>
      <c r="K12" s="9">
        <v>134.19999999999999</v>
      </c>
      <c r="L12" s="9">
        <v>134.19999999999999</v>
      </c>
      <c r="M12" s="3"/>
    </row>
    <row r="13" spans="1:13" x14ac:dyDescent="0.25">
      <c r="A13" s="8" t="s">
        <v>57</v>
      </c>
      <c r="B13" s="6" t="s">
        <v>58</v>
      </c>
      <c r="C13" s="6" t="s">
        <v>59</v>
      </c>
      <c r="D13" s="7" t="s">
        <v>23</v>
      </c>
      <c r="E13" s="6">
        <v>7.1713630000000004</v>
      </c>
      <c r="F13" s="6">
        <v>100.61044200000001</v>
      </c>
      <c r="G13" s="6">
        <v>13.8621</v>
      </c>
      <c r="H13" s="6">
        <v>100.51439999999999</v>
      </c>
      <c r="I13" s="6" t="s">
        <v>60</v>
      </c>
      <c r="J13" s="6">
        <v>73.099999999999994</v>
      </c>
      <c r="K13" s="9">
        <v>732.4</v>
      </c>
      <c r="L13" s="9">
        <v>732.4</v>
      </c>
      <c r="M13" s="3"/>
    </row>
    <row r="14" spans="1:13" x14ac:dyDescent="0.25">
      <c r="A14" s="8" t="s">
        <v>61</v>
      </c>
      <c r="B14" s="6" t="s">
        <v>62</v>
      </c>
      <c r="C14" s="6" t="s">
        <v>63</v>
      </c>
      <c r="D14" s="7" t="s">
        <v>14</v>
      </c>
      <c r="E14" s="6">
        <v>9.1672740000000008</v>
      </c>
      <c r="F14" s="6">
        <v>99.327614999999994</v>
      </c>
      <c r="G14" s="6">
        <v>13.8621</v>
      </c>
      <c r="H14" s="6">
        <v>100.51439999999999</v>
      </c>
      <c r="I14" s="6" t="s">
        <v>64</v>
      </c>
      <c r="J14" s="6">
        <v>32.1</v>
      </c>
      <c r="K14" s="9">
        <v>253</v>
      </c>
      <c r="L14" s="9">
        <v>253</v>
      </c>
      <c r="M14" s="3"/>
    </row>
    <row r="15" spans="1:13" x14ac:dyDescent="0.25">
      <c r="A15" s="8" t="s">
        <v>65</v>
      </c>
      <c r="B15" s="6" t="s">
        <v>66</v>
      </c>
      <c r="C15" s="6" t="s">
        <v>67</v>
      </c>
      <c r="D15" s="7" t="s">
        <v>14</v>
      </c>
      <c r="E15" s="6">
        <v>13.816435999999999</v>
      </c>
      <c r="F15" s="6">
        <v>100.463942</v>
      </c>
      <c r="G15" s="6">
        <v>9.1381999999999994</v>
      </c>
      <c r="H15" s="6">
        <v>99.321700000000007</v>
      </c>
      <c r="I15" s="6" t="s">
        <v>68</v>
      </c>
      <c r="J15" s="6">
        <v>43</v>
      </c>
      <c r="K15" s="9">
        <v>94.9</v>
      </c>
      <c r="L15" s="9">
        <v>94.9</v>
      </c>
      <c r="M15" s="3"/>
    </row>
    <row r="16" spans="1:13" x14ac:dyDescent="0.25">
      <c r="A16" s="13" t="s">
        <v>69</v>
      </c>
      <c r="B16" s="14" t="s">
        <v>70</v>
      </c>
      <c r="C16" s="14" t="s">
        <v>71</v>
      </c>
      <c r="D16" s="15" t="s">
        <v>23</v>
      </c>
      <c r="E16" s="14">
        <v>17.415026000000001</v>
      </c>
      <c r="F16" s="14">
        <v>102.738826</v>
      </c>
      <c r="G16" s="14">
        <v>8.4304000000000006</v>
      </c>
      <c r="H16" s="14">
        <v>99.963099999999997</v>
      </c>
      <c r="I16" s="14" t="s">
        <v>72</v>
      </c>
      <c r="J16" s="14">
        <v>45.1</v>
      </c>
      <c r="K16" s="16">
        <v>662.9</v>
      </c>
      <c r="L16" s="16">
        <v>662.9</v>
      </c>
      <c r="M16" s="3"/>
    </row>
    <row r="17" spans="1:12" x14ac:dyDescent="0.25">
      <c r="A17" s="13" t="s">
        <v>69</v>
      </c>
      <c r="B17" s="14" t="s">
        <v>70</v>
      </c>
      <c r="C17" s="14" t="s">
        <v>71</v>
      </c>
      <c r="D17" s="15" t="s">
        <v>23</v>
      </c>
      <c r="E17" s="15">
        <v>17.415026000000001</v>
      </c>
      <c r="F17" s="14">
        <v>102.738826</v>
      </c>
      <c r="G17" s="14">
        <v>8.4304000000000006</v>
      </c>
      <c r="H17" s="14">
        <v>99.963099999999997</v>
      </c>
      <c r="I17" s="14" t="s">
        <v>72</v>
      </c>
      <c r="J17" s="14">
        <v>45.1</v>
      </c>
      <c r="K17" s="16">
        <v>662.9</v>
      </c>
      <c r="L17" s="16">
        <v>662.9</v>
      </c>
    </row>
    <row r="18" spans="1:12" s="3" customFormat="1" x14ac:dyDescent="0.25">
      <c r="E18" s="5" t="str">
        <f t="shared" ref="E18:E66" si="0">IF(D18="กำลังขนส่ง","แดง",
IF(D18="ถึงแล้ว","เขียว",
IF(D18="รอรับเข้าระบบ","ส้ม",
IF(D18="ตีกลับ/มีปัญหา","ม่วง",""))))</f>
        <v/>
      </c>
      <c r="F18" s="4"/>
      <c r="J18" s="2"/>
    </row>
    <row r="19" spans="1:12" s="3" customFormat="1" x14ac:dyDescent="0.25">
      <c r="E19" s="5" t="str">
        <f t="shared" si="0"/>
        <v/>
      </c>
      <c r="F19" s="4"/>
      <c r="J19" s="2"/>
    </row>
    <row r="20" spans="1:12" s="3" customFormat="1" x14ac:dyDescent="0.25">
      <c r="E20" s="5" t="str">
        <f t="shared" si="0"/>
        <v/>
      </c>
      <c r="F20" s="4"/>
      <c r="J20" s="2"/>
    </row>
    <row r="21" spans="1:12" s="3" customFormat="1" x14ac:dyDescent="0.25">
      <c r="E21" s="5" t="str">
        <f t="shared" si="0"/>
        <v/>
      </c>
      <c r="F21" s="4"/>
      <c r="J21" s="2"/>
    </row>
    <row r="22" spans="1:12" s="3" customFormat="1" x14ac:dyDescent="0.25">
      <c r="E22" s="5" t="str">
        <f t="shared" si="0"/>
        <v/>
      </c>
      <c r="F22" s="4"/>
      <c r="J22" s="2"/>
    </row>
    <row r="23" spans="1:12" s="3" customFormat="1" x14ac:dyDescent="0.25">
      <c r="E23" s="5" t="str">
        <f t="shared" si="0"/>
        <v/>
      </c>
      <c r="F23" s="4"/>
      <c r="J23" s="2"/>
    </row>
    <row r="24" spans="1:12" s="3" customFormat="1" x14ac:dyDescent="0.25">
      <c r="E24" s="5" t="str">
        <f t="shared" si="0"/>
        <v/>
      </c>
      <c r="F24" s="4"/>
      <c r="J24" s="2"/>
    </row>
    <row r="25" spans="1:12" s="3" customFormat="1" x14ac:dyDescent="0.25">
      <c r="E25" s="5" t="str">
        <f t="shared" si="0"/>
        <v/>
      </c>
      <c r="F25" s="4"/>
      <c r="J25" s="2"/>
    </row>
    <row r="26" spans="1:12" s="3" customFormat="1" x14ac:dyDescent="0.25">
      <c r="E26" s="5" t="str">
        <f t="shared" si="0"/>
        <v/>
      </c>
      <c r="F26" s="4"/>
    </row>
    <row r="27" spans="1:12" s="3" customFormat="1" x14ac:dyDescent="0.25">
      <c r="E27" s="5" t="str">
        <f t="shared" si="0"/>
        <v/>
      </c>
      <c r="F27" s="4"/>
    </row>
    <row r="28" spans="1:12" s="3" customFormat="1" x14ac:dyDescent="0.25">
      <c r="E28" s="5" t="str">
        <f t="shared" si="0"/>
        <v/>
      </c>
      <c r="F28" s="4"/>
    </row>
    <row r="29" spans="1:12" s="3" customFormat="1" x14ac:dyDescent="0.25">
      <c r="E29" s="5" t="str">
        <f t="shared" si="0"/>
        <v/>
      </c>
      <c r="F29" s="4"/>
    </row>
    <row r="30" spans="1:12" s="3" customFormat="1" x14ac:dyDescent="0.25">
      <c r="E30" s="5" t="str">
        <f t="shared" si="0"/>
        <v/>
      </c>
      <c r="F30" s="4"/>
    </row>
    <row r="31" spans="1:12" s="3" customFormat="1" x14ac:dyDescent="0.25">
      <c r="E31" s="5" t="str">
        <f t="shared" si="0"/>
        <v/>
      </c>
      <c r="F31" s="4"/>
    </row>
    <row r="32" spans="1:12" s="3" customFormat="1" x14ac:dyDescent="0.25">
      <c r="E32" s="5" t="str">
        <f t="shared" si="0"/>
        <v/>
      </c>
      <c r="F32" s="4"/>
    </row>
    <row r="33" spans="5:10" s="3" customFormat="1" x14ac:dyDescent="0.25">
      <c r="E33" s="5" t="str">
        <f t="shared" si="0"/>
        <v/>
      </c>
      <c r="F33" s="4"/>
    </row>
    <row r="34" spans="5:10" s="3" customFormat="1" x14ac:dyDescent="0.25">
      <c r="E34" s="5" t="str">
        <f t="shared" si="0"/>
        <v/>
      </c>
      <c r="F34" s="4"/>
    </row>
    <row r="35" spans="5:10" s="3" customFormat="1" x14ac:dyDescent="0.25">
      <c r="E35" s="5" t="str">
        <f t="shared" si="0"/>
        <v/>
      </c>
      <c r="F35" s="4"/>
    </row>
    <row r="36" spans="5:10" s="3" customFormat="1" x14ac:dyDescent="0.25">
      <c r="E36" s="5" t="str">
        <f t="shared" si="0"/>
        <v/>
      </c>
      <c r="F36" s="4"/>
    </row>
    <row r="37" spans="5:10" s="3" customFormat="1" x14ac:dyDescent="0.25">
      <c r="E37" s="5" t="str">
        <f t="shared" si="0"/>
        <v/>
      </c>
      <c r="F37" s="4"/>
    </row>
    <row r="38" spans="5:10" s="3" customFormat="1" x14ac:dyDescent="0.25">
      <c r="E38" s="5" t="str">
        <f t="shared" si="0"/>
        <v/>
      </c>
      <c r="F38" s="4"/>
    </row>
    <row r="39" spans="5:10" s="3" customFormat="1" x14ac:dyDescent="0.25">
      <c r="E39" s="5" t="str">
        <f t="shared" si="0"/>
        <v/>
      </c>
      <c r="F39" s="4"/>
    </row>
    <row r="40" spans="5:10" s="3" customFormat="1" x14ac:dyDescent="0.25">
      <c r="E40" s="5" t="str">
        <f t="shared" si="0"/>
        <v/>
      </c>
      <c r="F40" s="4"/>
    </row>
    <row r="41" spans="5:10" s="3" customFormat="1" x14ac:dyDescent="0.25">
      <c r="E41" s="5" t="str">
        <f t="shared" si="0"/>
        <v/>
      </c>
      <c r="F41" s="4"/>
    </row>
    <row r="42" spans="5:10" s="3" customFormat="1" x14ac:dyDescent="0.25">
      <c r="E42" s="5" t="str">
        <f t="shared" si="0"/>
        <v/>
      </c>
      <c r="F42" s="4"/>
      <c r="J42" s="2"/>
    </row>
    <row r="43" spans="5:10" s="3" customFormat="1" x14ac:dyDescent="0.25">
      <c r="E43" s="5" t="str">
        <f t="shared" si="0"/>
        <v/>
      </c>
      <c r="F43" s="4"/>
      <c r="J43" s="2"/>
    </row>
    <row r="44" spans="5:10" s="3" customFormat="1" x14ac:dyDescent="0.25">
      <c r="E44" s="5" t="str">
        <f t="shared" si="0"/>
        <v/>
      </c>
      <c r="F44" s="4"/>
      <c r="J44" s="2"/>
    </row>
    <row r="45" spans="5:10" s="3" customFormat="1" x14ac:dyDescent="0.25">
      <c r="E45" s="5" t="str">
        <f t="shared" si="0"/>
        <v/>
      </c>
      <c r="F45" s="4"/>
      <c r="J45" s="2"/>
    </row>
    <row r="46" spans="5:10" s="3" customFormat="1" x14ac:dyDescent="0.25">
      <c r="E46" s="5" t="str">
        <f t="shared" si="0"/>
        <v/>
      </c>
      <c r="F46" s="4"/>
      <c r="J46" s="2"/>
    </row>
    <row r="47" spans="5:10" s="3" customFormat="1" x14ac:dyDescent="0.25">
      <c r="E47" s="5" t="str">
        <f t="shared" si="0"/>
        <v/>
      </c>
      <c r="F47" s="4"/>
      <c r="J47" s="2"/>
    </row>
    <row r="48" spans="5:10" s="3" customFormat="1" x14ac:dyDescent="0.25">
      <c r="E48" s="5" t="str">
        <f t="shared" si="0"/>
        <v/>
      </c>
      <c r="F48" s="4"/>
      <c r="J48" s="2"/>
    </row>
    <row r="49" spans="5:10" s="3" customFormat="1" x14ac:dyDescent="0.25">
      <c r="E49" s="5" t="str">
        <f t="shared" si="0"/>
        <v/>
      </c>
      <c r="F49" s="4"/>
      <c r="J49" s="2"/>
    </row>
    <row r="50" spans="5:10" s="3" customFormat="1" x14ac:dyDescent="0.25">
      <c r="E50" s="5" t="str">
        <f t="shared" si="0"/>
        <v/>
      </c>
      <c r="F50" s="4"/>
      <c r="J50" s="2"/>
    </row>
    <row r="51" spans="5:10" s="3" customFormat="1" x14ac:dyDescent="0.25">
      <c r="E51" s="5" t="str">
        <f t="shared" si="0"/>
        <v/>
      </c>
      <c r="F51" s="4"/>
      <c r="J51" s="2"/>
    </row>
    <row r="52" spans="5:10" s="3" customFormat="1" x14ac:dyDescent="0.25">
      <c r="E52" s="5" t="str">
        <f t="shared" si="0"/>
        <v/>
      </c>
      <c r="F52" s="4"/>
      <c r="J52" s="2"/>
    </row>
    <row r="53" spans="5:10" s="3" customFormat="1" x14ac:dyDescent="0.25">
      <c r="E53" s="5" t="str">
        <f t="shared" si="0"/>
        <v/>
      </c>
      <c r="F53" s="4"/>
      <c r="J53" s="2"/>
    </row>
    <row r="54" spans="5:10" s="3" customFormat="1" x14ac:dyDescent="0.25">
      <c r="E54" s="5" t="str">
        <f t="shared" si="0"/>
        <v/>
      </c>
      <c r="F54" s="4"/>
      <c r="J54" s="2"/>
    </row>
    <row r="55" spans="5:10" s="3" customFormat="1" x14ac:dyDescent="0.25">
      <c r="E55" s="5" t="str">
        <f t="shared" si="0"/>
        <v/>
      </c>
      <c r="F55" s="4"/>
      <c r="J55" s="2"/>
    </row>
    <row r="56" spans="5:10" s="3" customFormat="1" x14ac:dyDescent="0.25">
      <c r="E56" s="5" t="str">
        <f t="shared" si="0"/>
        <v/>
      </c>
      <c r="F56" s="4"/>
      <c r="J56" s="2"/>
    </row>
    <row r="57" spans="5:10" s="3" customFormat="1" x14ac:dyDescent="0.25">
      <c r="E57" s="5" t="str">
        <f t="shared" si="0"/>
        <v/>
      </c>
      <c r="F57" s="4"/>
      <c r="J57" s="2"/>
    </row>
    <row r="58" spans="5:10" s="3" customFormat="1" x14ac:dyDescent="0.25">
      <c r="E58" s="5" t="str">
        <f t="shared" si="0"/>
        <v/>
      </c>
      <c r="F58" s="4"/>
      <c r="J58" s="2"/>
    </row>
    <row r="59" spans="5:10" s="3" customFormat="1" x14ac:dyDescent="0.25">
      <c r="E59" s="5" t="str">
        <f t="shared" si="0"/>
        <v/>
      </c>
      <c r="F59" s="4"/>
      <c r="J59" s="2"/>
    </row>
    <row r="60" spans="5:10" s="3" customFormat="1" x14ac:dyDescent="0.25">
      <c r="E60" s="5" t="str">
        <f t="shared" si="0"/>
        <v/>
      </c>
      <c r="F60" s="4"/>
      <c r="J60" s="2"/>
    </row>
    <row r="61" spans="5:10" s="3" customFormat="1" x14ac:dyDescent="0.25">
      <c r="E61" s="5" t="str">
        <f t="shared" si="0"/>
        <v/>
      </c>
      <c r="F61" s="4"/>
      <c r="J61" s="2"/>
    </row>
    <row r="62" spans="5:10" s="3" customFormat="1" x14ac:dyDescent="0.25">
      <c r="E62" s="5" t="str">
        <f t="shared" si="0"/>
        <v/>
      </c>
      <c r="F62" s="4"/>
      <c r="J62" s="2"/>
    </row>
    <row r="63" spans="5:10" s="3" customFormat="1" x14ac:dyDescent="0.25">
      <c r="E63" s="5" t="str">
        <f t="shared" si="0"/>
        <v/>
      </c>
      <c r="F63" s="4"/>
      <c r="J63" s="2"/>
    </row>
    <row r="64" spans="5:10" s="3" customFormat="1" x14ac:dyDescent="0.25">
      <c r="E64" s="5" t="str">
        <f t="shared" si="0"/>
        <v/>
      </c>
      <c r="F64" s="4"/>
      <c r="J64" s="2"/>
    </row>
    <row r="65" spans="5:10" s="3" customFormat="1" x14ac:dyDescent="0.25">
      <c r="E65" s="5" t="str">
        <f t="shared" si="0"/>
        <v/>
      </c>
      <c r="F65" s="4"/>
      <c r="J65" s="2"/>
    </row>
    <row r="66" spans="5:10" s="3" customFormat="1" x14ac:dyDescent="0.25">
      <c r="E66" s="5" t="str">
        <f t="shared" si="0"/>
        <v/>
      </c>
      <c r="F66" s="4"/>
      <c r="J66" s="2"/>
    </row>
    <row r="67" spans="5:10" s="3" customFormat="1" x14ac:dyDescent="0.25">
      <c r="E67" s="5" t="str">
        <f t="shared" ref="E67:E101" si="1">IF(D67="กำลังขนส่ง","แดง",
IF(D67="ถึงแล้ว","เขียว",
IF(D67="รอรับเข้าระบบ","ส้ม",
IF(D67="ตีกลับ/มีปัญหา","ม่วง",""))))</f>
        <v/>
      </c>
      <c r="F67" s="4"/>
      <c r="J67" s="2"/>
    </row>
    <row r="68" spans="5:10" s="3" customFormat="1" x14ac:dyDescent="0.25">
      <c r="E68" s="5" t="str">
        <f t="shared" si="1"/>
        <v/>
      </c>
      <c r="F68" s="4"/>
      <c r="J68" s="2"/>
    </row>
    <row r="69" spans="5:10" s="3" customFormat="1" x14ac:dyDescent="0.25">
      <c r="E69" s="5" t="str">
        <f t="shared" si="1"/>
        <v/>
      </c>
      <c r="F69" s="4"/>
      <c r="J69" s="2"/>
    </row>
    <row r="70" spans="5:10" s="3" customFormat="1" x14ac:dyDescent="0.25">
      <c r="E70" s="5" t="str">
        <f t="shared" si="1"/>
        <v/>
      </c>
      <c r="F70" s="4"/>
      <c r="J70" s="2"/>
    </row>
    <row r="71" spans="5:10" s="3" customFormat="1" x14ac:dyDescent="0.25">
      <c r="E71" s="5" t="str">
        <f t="shared" si="1"/>
        <v/>
      </c>
      <c r="F71" s="4"/>
      <c r="J71" s="2"/>
    </row>
    <row r="72" spans="5:10" s="3" customFormat="1" x14ac:dyDescent="0.25">
      <c r="E72" s="5" t="str">
        <f t="shared" si="1"/>
        <v/>
      </c>
      <c r="F72" s="4"/>
      <c r="J72" s="2"/>
    </row>
    <row r="73" spans="5:10" s="3" customFormat="1" x14ac:dyDescent="0.25">
      <c r="E73" s="5" t="str">
        <f t="shared" si="1"/>
        <v/>
      </c>
      <c r="F73" s="4"/>
      <c r="J73" s="2"/>
    </row>
    <row r="74" spans="5:10" s="3" customFormat="1" x14ac:dyDescent="0.25">
      <c r="E74" s="5" t="str">
        <f t="shared" si="1"/>
        <v/>
      </c>
      <c r="F74" s="4"/>
      <c r="J74" s="2"/>
    </row>
    <row r="75" spans="5:10" s="3" customFormat="1" x14ac:dyDescent="0.25">
      <c r="E75" s="5" t="str">
        <f t="shared" si="1"/>
        <v/>
      </c>
      <c r="F75" s="4"/>
      <c r="J75" s="2"/>
    </row>
    <row r="76" spans="5:10" s="3" customFormat="1" x14ac:dyDescent="0.25">
      <c r="E76" s="5" t="str">
        <f t="shared" si="1"/>
        <v/>
      </c>
      <c r="F76" s="4"/>
      <c r="J76" s="2"/>
    </row>
    <row r="77" spans="5:10" s="3" customFormat="1" x14ac:dyDescent="0.25">
      <c r="E77" s="5" t="str">
        <f t="shared" si="1"/>
        <v/>
      </c>
      <c r="F77" s="4"/>
      <c r="J77" s="2"/>
    </row>
    <row r="78" spans="5:10" s="3" customFormat="1" x14ac:dyDescent="0.25">
      <c r="E78" s="5" t="str">
        <f t="shared" si="1"/>
        <v/>
      </c>
      <c r="F78" s="4"/>
      <c r="J78" s="2"/>
    </row>
    <row r="79" spans="5:10" s="3" customFormat="1" x14ac:dyDescent="0.25">
      <c r="E79" s="5" t="str">
        <f t="shared" si="1"/>
        <v/>
      </c>
      <c r="F79" s="4"/>
      <c r="J79" s="2"/>
    </row>
    <row r="80" spans="5:10" s="3" customFormat="1" x14ac:dyDescent="0.25">
      <c r="E80" s="5" t="str">
        <f t="shared" si="1"/>
        <v/>
      </c>
      <c r="F80" s="4"/>
      <c r="J80" s="2"/>
    </row>
    <row r="81" spans="5:10" s="3" customFormat="1" x14ac:dyDescent="0.25">
      <c r="E81" s="5" t="str">
        <f t="shared" si="1"/>
        <v/>
      </c>
      <c r="F81" s="4"/>
      <c r="J81" s="2"/>
    </row>
    <row r="82" spans="5:10" s="3" customFormat="1" x14ac:dyDescent="0.25">
      <c r="E82" s="5" t="str">
        <f t="shared" si="1"/>
        <v/>
      </c>
      <c r="F82" s="4"/>
      <c r="J82" s="2"/>
    </row>
    <row r="83" spans="5:10" s="3" customFormat="1" x14ac:dyDescent="0.25">
      <c r="E83" s="5" t="str">
        <f t="shared" si="1"/>
        <v/>
      </c>
      <c r="F83" s="4"/>
      <c r="J83" s="2"/>
    </row>
    <row r="84" spans="5:10" s="3" customFormat="1" x14ac:dyDescent="0.25">
      <c r="E84" s="5" t="str">
        <f t="shared" si="1"/>
        <v/>
      </c>
      <c r="F84" s="4"/>
      <c r="J84" s="2"/>
    </row>
    <row r="85" spans="5:10" s="3" customFormat="1" x14ac:dyDescent="0.25">
      <c r="E85" s="5" t="str">
        <f t="shared" si="1"/>
        <v/>
      </c>
      <c r="F85" s="4"/>
      <c r="J85" s="2"/>
    </row>
    <row r="86" spans="5:10" s="3" customFormat="1" x14ac:dyDescent="0.25">
      <c r="E86" s="5" t="str">
        <f t="shared" si="1"/>
        <v/>
      </c>
      <c r="F86" s="4"/>
      <c r="J86" s="2"/>
    </row>
    <row r="87" spans="5:10" s="3" customFormat="1" x14ac:dyDescent="0.25">
      <c r="E87" s="5" t="str">
        <f t="shared" si="1"/>
        <v/>
      </c>
      <c r="F87" s="4"/>
      <c r="J87" s="2"/>
    </row>
    <row r="88" spans="5:10" s="3" customFormat="1" x14ac:dyDescent="0.25">
      <c r="E88" s="5" t="str">
        <f t="shared" si="1"/>
        <v/>
      </c>
      <c r="F88" s="4"/>
      <c r="J88" s="2"/>
    </row>
    <row r="89" spans="5:10" s="3" customFormat="1" x14ac:dyDescent="0.25">
      <c r="E89" s="5" t="str">
        <f t="shared" si="1"/>
        <v/>
      </c>
      <c r="F89" s="4"/>
      <c r="J89" s="2"/>
    </row>
    <row r="90" spans="5:10" s="3" customFormat="1" x14ac:dyDescent="0.25">
      <c r="E90" s="5" t="str">
        <f t="shared" si="1"/>
        <v/>
      </c>
      <c r="F90" s="4"/>
      <c r="J90" s="2"/>
    </row>
    <row r="91" spans="5:10" s="3" customFormat="1" x14ac:dyDescent="0.25">
      <c r="E91" s="5" t="str">
        <f t="shared" si="1"/>
        <v/>
      </c>
      <c r="F91" s="4"/>
      <c r="J91" s="2"/>
    </row>
    <row r="92" spans="5:10" s="3" customFormat="1" x14ac:dyDescent="0.25">
      <c r="E92" s="5" t="str">
        <f t="shared" si="1"/>
        <v/>
      </c>
      <c r="F92" s="4"/>
      <c r="J92" s="2"/>
    </row>
    <row r="93" spans="5:10" s="3" customFormat="1" x14ac:dyDescent="0.25">
      <c r="E93" s="5" t="str">
        <f t="shared" si="1"/>
        <v/>
      </c>
      <c r="F93" s="4"/>
      <c r="J93" s="2"/>
    </row>
    <row r="94" spans="5:10" s="3" customFormat="1" x14ac:dyDescent="0.25">
      <c r="E94" s="5" t="str">
        <f t="shared" si="1"/>
        <v/>
      </c>
      <c r="F94" s="4"/>
      <c r="J94" s="2"/>
    </row>
    <row r="95" spans="5:10" s="3" customFormat="1" x14ac:dyDescent="0.25">
      <c r="E95" s="5" t="str">
        <f t="shared" si="1"/>
        <v/>
      </c>
      <c r="F95" s="4"/>
      <c r="J95" s="2"/>
    </row>
    <row r="96" spans="5:10" s="3" customFormat="1" x14ac:dyDescent="0.25">
      <c r="E96" s="5" t="str">
        <f t="shared" si="1"/>
        <v/>
      </c>
      <c r="F96" s="4"/>
      <c r="J96" s="2"/>
    </row>
    <row r="97" spans="5:10" s="3" customFormat="1" x14ac:dyDescent="0.25">
      <c r="E97" s="5" t="str">
        <f t="shared" si="1"/>
        <v/>
      </c>
      <c r="F97" s="4"/>
      <c r="J97" s="2"/>
    </row>
    <row r="98" spans="5:10" s="3" customFormat="1" x14ac:dyDescent="0.25">
      <c r="E98" s="5" t="str">
        <f t="shared" si="1"/>
        <v/>
      </c>
      <c r="F98" s="4"/>
      <c r="J98" s="2"/>
    </row>
    <row r="99" spans="5:10" s="3" customFormat="1" x14ac:dyDescent="0.25">
      <c r="E99" s="5" t="str">
        <f t="shared" si="1"/>
        <v/>
      </c>
      <c r="F99" s="4"/>
      <c r="J99" s="2"/>
    </row>
    <row r="100" spans="5:10" s="3" customFormat="1" x14ac:dyDescent="0.25">
      <c r="E100" s="5" t="str">
        <f t="shared" si="1"/>
        <v/>
      </c>
      <c r="F100" s="4"/>
      <c r="J100" s="2"/>
    </row>
    <row r="101" spans="5:10" s="3" customFormat="1" x14ac:dyDescent="0.25">
      <c r="E101" s="5" t="str">
        <f t="shared" si="1"/>
        <v/>
      </c>
      <c r="F101" s="4"/>
      <c r="J101" s="2"/>
    </row>
  </sheetData>
  <conditionalFormatting sqref="E2:E101">
    <cfRule type="expression" priority="23">
      <formula>$E2="แดง"</formula>
    </cfRule>
  </conditionalFormatting>
  <conditionalFormatting sqref="E2">
    <cfRule type="expression" priority="22">
      <formula>$E2="แดง"</formula>
    </cfRule>
  </conditionalFormatting>
  <conditionalFormatting sqref="E2:E17">
    <cfRule type="containsText" dxfId="23" priority="16" operator="containsText" text="กำลังขนส่ง">
      <formula>NOT(ISERROR(SEARCH("กำลังขนส่ง",E2)))</formula>
    </cfRule>
    <cfRule type="containsText" dxfId="22" priority="15" operator="containsText" text="ถึงแล้ว">
      <formula>NOT(ISERROR(SEARCH("ถึงแล้ว",E2)))</formula>
    </cfRule>
  </conditionalFormatting>
  <conditionalFormatting sqref="D2:D17">
    <cfRule type="expression" priority="10">
      <formula>$E2="แดง"</formula>
    </cfRule>
  </conditionalFormatting>
  <conditionalFormatting sqref="D2">
    <cfRule type="expression" priority="9">
      <formula>$E2="แดง"</formula>
    </cfRule>
  </conditionalFormatting>
  <conditionalFormatting sqref="D2:D17">
    <cfRule type="containsText" dxfId="21" priority="7" operator="containsText" text="ถึงแล้ว">
      <formula>NOT(ISERROR(SEARCH("ถึงแล้ว",D2)))</formula>
    </cfRule>
    <cfRule type="containsText" dxfId="20" priority="8" operator="containsText" text="กำลังขนส่ง">
      <formula>NOT(ISERROR(SEARCH("กำลังขนส่ง",D2)))</formula>
    </cfRule>
  </conditionalFormatting>
  <conditionalFormatting sqref="E17">
    <cfRule type="expression" priority="6">
      <formula>$E17="แดง"</formula>
    </cfRule>
  </conditionalFormatting>
  <conditionalFormatting sqref="E17">
    <cfRule type="containsText" dxfId="19" priority="4" operator="containsText" text="ถึงแล้ว">
      <formula>NOT(ISERROR(SEARCH("ถึงแล้ว",E17)))</formula>
    </cfRule>
    <cfRule type="containsText" dxfId="18" priority="5" operator="containsText" text="กำลังขนส่ง">
      <formula>NOT(ISERROR(SEARCH("กำลังขนส่ง",E17)))</formula>
    </cfRule>
  </conditionalFormatting>
  <conditionalFormatting sqref="D17">
    <cfRule type="expression" priority="3">
      <formula>$E17="แดง"</formula>
    </cfRule>
  </conditionalFormatting>
  <conditionalFormatting sqref="D17">
    <cfRule type="containsText" dxfId="17" priority="1" operator="containsText" text="ถึงแล้ว">
      <formula>NOT(ISERROR(SEARCH("ถึงแล้ว",D17)))</formula>
    </cfRule>
    <cfRule type="containsText" dxfId="16" priority="2" operator="containsText" text="กำลังขนส่ง">
      <formula>NOT(ISERROR(SEARCH("กำลังขนส่ง",D17)))</formula>
    </cfRule>
  </conditionalFormatting>
  <dataValidations count="2">
    <dataValidation type="list" allowBlank="1" showInputMessage="1" showErrorMessage="1" sqref="C2:C17 D18:D101" xr:uid="{FC53F9C1-CD7D-4773-AAE8-BAEB6BF2FE0C}">
      <formula1>"กำลังขนส่ง,ถึงแล้ว,รอรับเข้าระบบ,ตีกลับ/มีปัญหา"</formula1>
    </dataValidation>
    <dataValidation type="list" allowBlank="1" showInputMessage="1" showErrorMessage="1" sqref="D2:D17" xr:uid="{D8ABC422-302E-4CC9-9882-69F3E4D162B9}">
      <formula1>"ถึงแล้ว , กำลังขนส่ง"</formula1>
    </dataValidation>
  </dataValidations>
  <pageMargins left="0.75" right="0.75" top="1" bottom="1" header="0.5" footer="0.5"/>
  <pageSetup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16E2-9CC1-4691-8C05-8912AB6EFE6D}">
  <dimension ref="A1"/>
  <sheetViews>
    <sheetView workbookViewId="0">
      <selection sqref="A1:XFD1048576"/>
    </sheetView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16.09765625" defaultRowHeight="13.8" x14ac:dyDescent="0.25"/>
  <sheetData>
    <row r="1" spans="1:2" x14ac:dyDescent="0.25">
      <c r="A1" s="1" t="s">
        <v>73</v>
      </c>
      <c r="B1" s="1" t="s">
        <v>74</v>
      </c>
    </row>
    <row r="2" spans="1:2" x14ac:dyDescent="0.25">
      <c r="A2" t="s">
        <v>75</v>
      </c>
      <c r="B2">
        <v>15</v>
      </c>
    </row>
    <row r="3" spans="1:2" x14ac:dyDescent="0.25">
      <c r="A3" t="s">
        <v>14</v>
      </c>
      <c r="B3">
        <v>14</v>
      </c>
    </row>
    <row r="4" spans="1:2" x14ac:dyDescent="0.25">
      <c r="A4" t="s">
        <v>23</v>
      </c>
      <c r="B4">
        <v>1</v>
      </c>
    </row>
    <row r="5" spans="1:2" x14ac:dyDescent="0.25">
      <c r="A5" t="s">
        <v>76</v>
      </c>
      <c r="B5">
        <v>0</v>
      </c>
    </row>
    <row r="6" spans="1:2" x14ac:dyDescent="0.25">
      <c r="A6" t="s">
        <v>77</v>
      </c>
      <c r="B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B14" sqref="B14"/>
    </sheetView>
  </sheetViews>
  <sheetFormatPr defaultColWidth="27.5" defaultRowHeight="13.8" x14ac:dyDescent="0.25"/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</row>
    <row r="2" spans="1:6" x14ac:dyDescent="0.25">
      <c r="A2" t="s">
        <v>61</v>
      </c>
      <c r="B2" t="s">
        <v>63</v>
      </c>
      <c r="C2" t="s">
        <v>14</v>
      </c>
      <c r="D2">
        <v>9.1672740000000008</v>
      </c>
      <c r="E2">
        <v>99.327614999999994</v>
      </c>
      <c r="F2" t="s">
        <v>64</v>
      </c>
    </row>
    <row r="3" spans="1:6" x14ac:dyDescent="0.25">
      <c r="A3" t="s">
        <v>45</v>
      </c>
      <c r="B3" t="s">
        <v>47</v>
      </c>
      <c r="C3" t="s">
        <v>14</v>
      </c>
      <c r="D3">
        <v>17.462606999999998</v>
      </c>
      <c r="E3">
        <v>102.771186</v>
      </c>
      <c r="F3" t="s">
        <v>48</v>
      </c>
    </row>
    <row r="4" spans="1:6" x14ac:dyDescent="0.25">
      <c r="A4" t="s">
        <v>41</v>
      </c>
      <c r="B4" t="s">
        <v>43</v>
      </c>
      <c r="C4" t="s">
        <v>14</v>
      </c>
      <c r="D4">
        <v>7.1371820000000001</v>
      </c>
      <c r="E4">
        <v>100.63176</v>
      </c>
      <c r="F4" t="s">
        <v>44</v>
      </c>
    </row>
    <row r="5" spans="1:6" x14ac:dyDescent="0.25">
      <c r="A5" t="s">
        <v>37</v>
      </c>
      <c r="B5" t="s">
        <v>39</v>
      </c>
      <c r="C5" t="s">
        <v>14</v>
      </c>
      <c r="D5">
        <v>16.434446000000001</v>
      </c>
      <c r="E5">
        <v>102.888458</v>
      </c>
      <c r="F5" t="s">
        <v>40</v>
      </c>
    </row>
    <row r="6" spans="1:6" x14ac:dyDescent="0.25">
      <c r="A6" t="s">
        <v>29</v>
      </c>
      <c r="B6" t="s">
        <v>31</v>
      </c>
      <c r="C6" t="s">
        <v>14</v>
      </c>
      <c r="D6">
        <v>14.919872</v>
      </c>
      <c r="E6">
        <v>102.165267</v>
      </c>
      <c r="F6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workbookViewId="0"/>
  </sheetViews>
  <sheetFormatPr defaultRowHeight="13.8" x14ac:dyDescent="0.25"/>
  <sheetData>
    <row r="1" spans="1:1" x14ac:dyDescent="0.25">
      <c r="A1" s="1" t="s">
        <v>78</v>
      </c>
    </row>
    <row r="2" spans="1:1" x14ac:dyDescent="0.25">
      <c r="A2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3" spans="1:1" x14ac:dyDescent="0.25">
      <c r="A13" t="s">
        <v>87</v>
      </c>
    </row>
    <row r="14" spans="1:1" x14ac:dyDescent="0.25">
      <c r="A14" t="s">
        <v>88</v>
      </c>
    </row>
    <row r="15" spans="1:1" x14ac:dyDescent="0.25">
      <c r="A15" t="s">
        <v>89</v>
      </c>
    </row>
    <row r="16" spans="1:1" x14ac:dyDescent="0.25">
      <c r="A16" t="s">
        <v>90</v>
      </c>
    </row>
    <row r="18" spans="1:1" x14ac:dyDescent="0.25">
      <c r="A18" t="s">
        <v>91</v>
      </c>
    </row>
    <row r="19" spans="1:1" x14ac:dyDescent="0.25">
      <c r="A19" t="s">
        <v>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4C4F21C-3619-4021-99EC-CA3C0C077E68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D2E50D17-8B0E-4051-9562-F12DC2485A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90E27AE-4F22-48C8-AD23-961F954BC8D8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ข้อมูลพัสดุ</vt:lpstr>
      <vt:lpstr>แผนที่</vt:lpstr>
      <vt:lpstr>Dashboard</vt:lpstr>
      <vt:lpstr>Top5_ล่าสุด</vt:lpstr>
      <vt:lpstr>รายงานสั้น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พุฒิพร บุญมา</cp:lastModifiedBy>
  <dcterms:created xsi:type="dcterms:W3CDTF">2026-01-25T14:26:25Z</dcterms:created>
  <dcterms:modified xsi:type="dcterms:W3CDTF">2026-01-26T07:37:52Z</dcterms:modified>
</cp:coreProperties>
</file>